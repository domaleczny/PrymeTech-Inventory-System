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Inventory" sheetId="1" r:id="rId4"/>
    <sheet state="visible" name="Probe Inventory" sheetId="2" r:id="rId5"/>
  </sheets>
  <definedNames>
    <definedName hidden="1" localSheetId="1" name="_xlnm._FilterDatabase">'Probe Inventory'!$A$1:$N$30</definedName>
  </definedNames>
  <calcPr/>
</workbook>
</file>

<file path=xl/sharedStrings.xml><?xml version="1.0" encoding="utf-8"?>
<sst xmlns="http://schemas.openxmlformats.org/spreadsheetml/2006/main" count="2083" uniqueCount="1250">
  <si>
    <t>Part Number</t>
  </si>
  <si>
    <t>Description</t>
  </si>
  <si>
    <t>Location</t>
  </si>
  <si>
    <t>Qty in Stock</t>
  </si>
  <si>
    <t>Min Bin Qty</t>
  </si>
  <si>
    <t>Customer</t>
  </si>
  <si>
    <t>Last Modify Date</t>
  </si>
  <si>
    <t>S5 Jaw: Stock 1.0" x 1.0" x 3.0" S5 Steel</t>
  </si>
  <si>
    <t>D3-2</t>
  </si>
  <si>
    <t>ITW</t>
  </si>
  <si>
    <t>10170: Stock: 1.0" x 1.0" x 3.0" S-5 Steel</t>
  </si>
  <si>
    <t>D3-4</t>
  </si>
  <si>
    <t>DEFINITIONS:</t>
  </si>
  <si>
    <t>JAW 3/4</t>
  </si>
  <si>
    <t>D2-5</t>
  </si>
  <si>
    <t xml:space="preserve">JAW  </t>
  </si>
  <si>
    <t>D3-8</t>
  </si>
  <si>
    <t>A 1-1 / 12-4</t>
  </si>
  <si>
    <t>Upstairs In Inventory</t>
  </si>
  <si>
    <t>13372 Jaw: Stock: 1.25" x 0.2" x 3.0" S5 Steel</t>
  </si>
  <si>
    <t>D3-3</t>
  </si>
  <si>
    <t>B 1-1 / 12-4</t>
  </si>
  <si>
    <t>M40 Notcher</t>
  </si>
  <si>
    <t>E5-SHELF</t>
  </si>
  <si>
    <t>C 1-1 / 12-4</t>
  </si>
  <si>
    <t>EZ Aid PVC Base Plate (Rejected Samples)</t>
  </si>
  <si>
    <t>D4</t>
  </si>
  <si>
    <t>Ironwood</t>
  </si>
  <si>
    <t>D 1-5 Shelf</t>
  </si>
  <si>
    <t>Grid Leveling Platforms</t>
  </si>
  <si>
    <t>E1</t>
  </si>
  <si>
    <t>Indicate</t>
  </si>
  <si>
    <t>E 1-5 Shelf</t>
  </si>
  <si>
    <t>Cutter</t>
  </si>
  <si>
    <t>D2-2</t>
  </si>
  <si>
    <t>F 1-5 Shelf</t>
  </si>
  <si>
    <t>ITW M2 CUTTER 20297 : Stock: 1.125" x 0.5" x 3.0" M2 Steel</t>
  </si>
  <si>
    <t>N/A</t>
  </si>
  <si>
    <t>G 1-5 Shelf</t>
  </si>
  <si>
    <t>ITW M2 CUTTER 20298 : Stock: 1.125" x 0.5" x 3.0" M2 Steel</t>
  </si>
  <si>
    <t>H 1-5 Shelf</t>
  </si>
  <si>
    <t>20929 Cutter: Stock: 1.125" x 0.5" x 3.0" M2 Steel</t>
  </si>
  <si>
    <t>D3-1</t>
  </si>
  <si>
    <t>U-Table</t>
  </si>
  <si>
    <t>Upstairs In Inventory Under Table w/ Lamp</t>
  </si>
  <si>
    <t>Jaw 5/8:       .498 x .998" S7 Steel</t>
  </si>
  <si>
    <t>D3-7</t>
  </si>
  <si>
    <t>signode</t>
  </si>
  <si>
    <t>Drawer</t>
  </si>
  <si>
    <t>Downstairs In "LISTA" Hardware Drawer</t>
  </si>
  <si>
    <t>m4 metric A-60 fixture clamps</t>
  </si>
  <si>
    <t>B3-3</t>
  </si>
  <si>
    <t>prymetech</t>
  </si>
  <si>
    <t>LAB 1-1 / 1-8</t>
  </si>
  <si>
    <t>Drawers Across From Contura "LISTA"</t>
  </si>
  <si>
    <t xml:space="preserve">M2/61/63/2T </t>
  </si>
  <si>
    <t>LAB 2-1 / 2-9</t>
  </si>
  <si>
    <t>Drawers Next to Fabweaver 3D Printers "GLOBAL"</t>
  </si>
  <si>
    <t>24519 Cutter: Stock: 1.125" x 0.5" x 3.0" M2 Steel</t>
  </si>
  <si>
    <t>70177 Cutter: Stock: 1.125" x 0.5" x 3.0" M2 Steel</t>
  </si>
  <si>
    <t>D4-2</t>
  </si>
  <si>
    <t>Machining of Al casting to Print 426906</t>
  </si>
  <si>
    <t>AL CASTINGS</t>
  </si>
  <si>
    <t>Machining of Al casting to Print 426907</t>
  </si>
  <si>
    <t>D4-1</t>
  </si>
  <si>
    <t xml:space="preserve">    </t>
  </si>
  <si>
    <t>Machining of Al casting to Print 427079</t>
  </si>
  <si>
    <t>D2-1</t>
  </si>
  <si>
    <t>BDI Brake Pad</t>
  </si>
  <si>
    <t>G1</t>
  </si>
  <si>
    <t>BDI</t>
  </si>
  <si>
    <t xml:space="preserve">  </t>
  </si>
  <si>
    <t>KMD SLIDE BAR Component</t>
  </si>
  <si>
    <t>C11-1/D4</t>
  </si>
  <si>
    <t>37/47</t>
  </si>
  <si>
    <t>Prymetech</t>
  </si>
  <si>
    <t>JAW 1/2</t>
  </si>
  <si>
    <t>D2-6</t>
  </si>
  <si>
    <t>0100-0500-CAPG</t>
  </si>
  <si>
    <t>6061 Alum.Small Green Anodiized Cap for GPH Parts: 0100-0500GPH</t>
  </si>
  <si>
    <t>C4-2</t>
  </si>
  <si>
    <t>0100-0500-CAPR</t>
  </si>
  <si>
    <t>6061 Alum.Small Red Anofized Cap for GPH Parts:     0100-0500GPH</t>
  </si>
  <si>
    <t>C4-1</t>
  </si>
  <si>
    <t>01000GPH</t>
  </si>
  <si>
    <t>6061 Alum.Small Red Anodized Cap for GPH Parts: 0100 - 0500GPH</t>
  </si>
  <si>
    <t>`C4-2</t>
  </si>
  <si>
    <t>01000GPH (G12-PRY-STD1000)</t>
  </si>
  <si>
    <t>0189-0.204": Gold Gage Pin Holder</t>
  </si>
  <si>
    <t>C3-2</t>
  </si>
  <si>
    <t>0100GPH (G11-PRY-STD0100)</t>
  </si>
  <si>
    <t>0.000-0.018": Red Gage Pin Holder</t>
  </si>
  <si>
    <t>C1-1</t>
  </si>
  <si>
    <t>01100GPH  (G12-PRY-STD1100)</t>
  </si>
  <si>
    <t>0.205-0.219": Green Gage Pin Holder</t>
  </si>
  <si>
    <t>C3-3</t>
  </si>
  <si>
    <t>01200GPH  (G12-PRY-STD-1200)</t>
  </si>
  <si>
    <t>0.220-0.250": Red Gage Pin Holder</t>
  </si>
  <si>
    <t>C3-4</t>
  </si>
  <si>
    <t>0200GPH (G11-PRY-STD0200)</t>
  </si>
  <si>
    <t>0.019-0.035": Black Gage Pin Holder</t>
  </si>
  <si>
    <t>C1-2</t>
  </si>
  <si>
    <t>0300GPH  (G11-PRY-STD300)</t>
  </si>
  <si>
    <t>0.036-0.063": Silver Gage Pin Holder</t>
  </si>
  <si>
    <t>C1-3</t>
  </si>
  <si>
    <t>0400GPH  (G11-PRY-STD400)</t>
  </si>
  <si>
    <t>0.064-0.094": Clear Silver Gage Pin Holder</t>
  </si>
  <si>
    <t>C1-4</t>
  </si>
  <si>
    <t>0500GPH  (G11-PRY-STD500)</t>
  </si>
  <si>
    <t>0.095-0.125": Blue Gage Pin Holder</t>
  </si>
  <si>
    <t>C2-1</t>
  </si>
  <si>
    <t>0600-1200-CAPG</t>
  </si>
  <si>
    <t>6061 Alum.Large Green Anodized Cap for GPH Parts: 0600 - 1200GPH</t>
  </si>
  <si>
    <t>C4-3</t>
  </si>
  <si>
    <t>0600-1200-CAPR</t>
  </si>
  <si>
    <t>6061 Alum.Large Red Anodized Cap for GPH Parts: 0600 - 1200GPH</t>
  </si>
  <si>
    <t>C4-4</t>
  </si>
  <si>
    <t>0600GPH  (G12-PRY-STD600)</t>
  </si>
  <si>
    <t>0.126-0.142": Red  Gage Pin Holder</t>
  </si>
  <si>
    <t>C2-2</t>
  </si>
  <si>
    <t>0700GPH  (G12-PRY-STD700)</t>
  </si>
  <si>
    <t>0.143-0.156": Black Gage Pin Holder</t>
  </si>
  <si>
    <t>C2-3</t>
  </si>
  <si>
    <t>0800GPH  (G12-PRY-STD800)</t>
  </si>
  <si>
    <t>0.157-0.172": Silver Frost Gage Pin Holder</t>
  </si>
  <si>
    <t>C2-4</t>
  </si>
  <si>
    <t>0900GPH  (G12-PRY-STD900)</t>
  </si>
  <si>
    <t>0.173-0.188": Clear Silver Gage Pin Holder</t>
  </si>
  <si>
    <t>C3-1</t>
  </si>
  <si>
    <t>1046613-00-A</t>
  </si>
  <si>
    <t>BALL STUD HX M10X18 PC109 ADH</t>
  </si>
  <si>
    <t>D3-SHELF</t>
  </si>
  <si>
    <t>BOSSARD</t>
  </si>
  <si>
    <t xml:space="preserve"> </t>
  </si>
  <si>
    <t xml:space="preserve">          </t>
  </si>
  <si>
    <t>1046613-00A</t>
  </si>
  <si>
    <t>13-0726-11</t>
  </si>
  <si>
    <t>AF5620 CORNER RISER BLOCK</t>
  </si>
  <si>
    <t>D2-3</t>
  </si>
  <si>
    <t>13-0726-11 Raw</t>
  </si>
  <si>
    <t>AF5620 CORNER PANEL</t>
  </si>
  <si>
    <t>13-0726-11-100</t>
  </si>
  <si>
    <t xml:space="preserve">AF5620 CORNER WALL </t>
  </si>
  <si>
    <t>13-1107-11</t>
  </si>
  <si>
    <t>UNIVERSAL LEVER</t>
  </si>
  <si>
    <t>B12-3</t>
  </si>
  <si>
    <t xml:space="preserve">13-1219-11 </t>
  </si>
  <si>
    <t>45 DEG Mirror Support</t>
  </si>
  <si>
    <t>A9-4</t>
  </si>
  <si>
    <t>13-1219-11 Mirror Cover</t>
  </si>
  <si>
    <t>Tube FIxture Mirror Cover</t>
  </si>
  <si>
    <t>A9-2</t>
  </si>
  <si>
    <t>13-1219-11 MIRROR SUPPORT</t>
  </si>
  <si>
    <t>Acrylic Demo Fixture</t>
  </si>
  <si>
    <t>F5-1</t>
  </si>
  <si>
    <t>13-1219-11 steel inserts long</t>
  </si>
  <si>
    <t>Tubing Fixture Steel Insert- Long</t>
  </si>
  <si>
    <t>A10-2</t>
  </si>
  <si>
    <t>13-1219-11 steel inserts short</t>
  </si>
  <si>
    <t>Tubing Fixture Steel Insert- Short</t>
  </si>
  <si>
    <t>A10-3</t>
  </si>
  <si>
    <t>13-1219-11 Tube Support</t>
  </si>
  <si>
    <t>A9-3</t>
  </si>
  <si>
    <t>132-PRY-STD-300300</t>
  </si>
  <si>
    <t>Hardcoated 12x12 plate</t>
  </si>
  <si>
    <t>E5-1</t>
  </si>
  <si>
    <t>1366N11</t>
  </si>
  <si>
    <t>non-marring spring-loaded guide pin,1/4 DiaX0.28Lbody 2.3-2.5lbs</t>
  </si>
  <si>
    <t>B8-3</t>
  </si>
  <si>
    <t xml:space="preserve">14-0331-1 </t>
  </si>
  <si>
    <t>Micro Center Fixture Assembly (Full Comp)</t>
  </si>
  <si>
    <t>C7-3</t>
  </si>
  <si>
    <t>14-0331-1 RAIL</t>
  </si>
  <si>
    <t>SS .375 OD X 6.50'' RAIL</t>
  </si>
  <si>
    <t>I42-PRY-STD-100</t>
  </si>
  <si>
    <t xml:space="preserve">14-0331-1 CENTERS GUIDE </t>
  </si>
  <si>
    <t>I42-PRY-STD-200</t>
  </si>
  <si>
    <t xml:space="preserve">14-0331-1 RAIL GUIDE </t>
  </si>
  <si>
    <t>14-0627 / 14-0624-3</t>
  </si>
  <si>
    <t>Column Lock Assembly</t>
  </si>
  <si>
    <t>C5-4</t>
  </si>
  <si>
    <t>Sensofar</t>
  </si>
  <si>
    <t>14-1204-1-000</t>
  </si>
  <si>
    <t>CUSTOM PLUNGER ASSEMBLED</t>
  </si>
  <si>
    <t>C8-4</t>
  </si>
  <si>
    <t>14-1204-1-100</t>
  </si>
  <si>
    <t>14-1204 CUSTOM PLUNGER HSG</t>
  </si>
  <si>
    <t>14-1204-1-A</t>
  </si>
  <si>
    <t>14-1204 CUSTOM PLUNGER INSERT, ALUMINUM</t>
  </si>
  <si>
    <t>14-1204-1-D</t>
  </si>
  <si>
    <t>14-1204 CUSTOM PLUNGER INSERT, DELRIN</t>
  </si>
  <si>
    <t>15-0119-000</t>
  </si>
  <si>
    <t>Tube Support V-Block (Matt Black Aluminum)</t>
  </si>
  <si>
    <t>LAB</t>
  </si>
  <si>
    <t>15-0916-1 (IT-GSW-250Ex3)</t>
  </si>
  <si>
    <t>Customized Hole Pattern Plate for Indicate</t>
  </si>
  <si>
    <t>Inventory</t>
  </si>
  <si>
    <t>16-0127-1 Zeiss</t>
  </si>
  <si>
    <t>Zeiss IO Demo block R1</t>
  </si>
  <si>
    <t>F4-3</t>
  </si>
  <si>
    <t>16-1004-1-500</t>
  </si>
  <si>
    <t>UNIVERSAL RISER BAR JAE</t>
  </si>
  <si>
    <t>A8-4</t>
  </si>
  <si>
    <t>Rexam</t>
  </si>
  <si>
    <t>16-1104-600</t>
  </si>
  <si>
    <t>Delrin Cube Spring Plunger</t>
  </si>
  <si>
    <t>17-0227-6</t>
  </si>
  <si>
    <t xml:space="preserve">Spring Pusher Cradle </t>
  </si>
  <si>
    <t>A5-1</t>
  </si>
  <si>
    <t>18-0406-2-3XX</t>
  </si>
  <si>
    <t>3XX BLANK TEMPLATE</t>
  </si>
  <si>
    <t>B13-2</t>
  </si>
  <si>
    <t>HydraForce</t>
  </si>
  <si>
    <t>18-0410-1-200</t>
  </si>
  <si>
    <t>ZELLER FIXTURE FOOT</t>
  </si>
  <si>
    <t>A8-2</t>
  </si>
  <si>
    <t>18-1130-2</t>
  </si>
  <si>
    <t xml:space="preserve">Thermoform Engineered Quality parts </t>
  </si>
  <si>
    <t>D4-SHELF</t>
  </si>
  <si>
    <t>19-0617-1 (PNBO 3)</t>
  </si>
  <si>
    <t>PNBO 3-inch 4 Jaw Rotary Chuck</t>
  </si>
  <si>
    <t>G1-1</t>
  </si>
  <si>
    <t>1959T24</t>
  </si>
  <si>
    <t>press to close bags,3W,5H,4Mil thick</t>
  </si>
  <si>
    <t>DR</t>
  </si>
  <si>
    <t>20-1030-2-000</t>
  </si>
  <si>
    <t>CHARTER SORT FIXTURE extra pins &amp; clamps and screws m3 x8 1000 pcs</t>
  </si>
  <si>
    <t>E2</t>
  </si>
  <si>
    <t>CHARTER AUTO</t>
  </si>
  <si>
    <t>2191A112</t>
  </si>
  <si>
    <t>M4x9mm Spring Plunger w/plastic nose</t>
  </si>
  <si>
    <t>B4-1</t>
  </si>
  <si>
    <t>23-1010-1-000</t>
  </si>
  <si>
    <t>Rize Printer Wiper Brush Assly</t>
  </si>
  <si>
    <t>Cabinet A-3</t>
  </si>
  <si>
    <t>266-2</t>
  </si>
  <si>
    <r>
      <rPr/>
      <t xml:space="preserve">M2 x 20, 2mm carbide ball on 1.40mm steel stem x 14mm E.W.L </t>
    </r>
    <r>
      <rPr>
        <b/>
      </rPr>
      <t>STYLUS</t>
    </r>
  </si>
  <si>
    <t>C8-1</t>
  </si>
  <si>
    <t>389</t>
  </si>
  <si>
    <t xml:space="preserve">Stylus Locking Wrench </t>
  </si>
  <si>
    <t>3D1-GOM-HWK-001</t>
  </si>
  <si>
    <t>PT Pyramid</t>
  </si>
  <si>
    <t>D2</t>
  </si>
  <si>
    <t>3D1-GOM-HWK-002</t>
  </si>
  <si>
    <t>PT Magnetic Hex</t>
  </si>
  <si>
    <t>4629T67</t>
  </si>
  <si>
    <t>Plastiic Kit Box 14 x 8-5/8</t>
  </si>
  <si>
    <t>48239-2</t>
  </si>
  <si>
    <t>Aluminum Cylinders</t>
  </si>
  <si>
    <t>D2-4</t>
  </si>
  <si>
    <t>635-ROI</t>
  </si>
  <si>
    <t>Acylic Fixture for ROI (Starlite 1/4-20)</t>
  </si>
  <si>
    <t>F4-2</t>
  </si>
  <si>
    <t>7122A13</t>
  </si>
  <si>
    <t>0.05 HEX ALLEN WRENCH</t>
  </si>
  <si>
    <t>B10-3</t>
  </si>
  <si>
    <t>7122A16</t>
  </si>
  <si>
    <t>3/32 HEX ALLEN WRENCH</t>
  </si>
  <si>
    <t>B9-3</t>
  </si>
  <si>
    <t>7122A18</t>
  </si>
  <si>
    <t>1/8 HEX ALLEN WRENCH</t>
  </si>
  <si>
    <t>7122A39</t>
  </si>
  <si>
    <t>1/16 HEX ALLEN WRENCH</t>
  </si>
  <si>
    <t>7289A12</t>
  </si>
  <si>
    <t>M2 HEX ALLEN WRENCH</t>
  </si>
  <si>
    <t>7289A13</t>
  </si>
  <si>
    <t>2.5 HEX ALLEN WRENCH</t>
  </si>
  <si>
    <t>7289A14</t>
  </si>
  <si>
    <t>3mm HEX ALLEN WRENCH</t>
  </si>
  <si>
    <t>83-98-929G</t>
  </si>
  <si>
    <t xml:space="preserve">M4 13mm Dia. Knurled Style Gray Knob socket cap </t>
  </si>
  <si>
    <t>B9-4</t>
  </si>
  <si>
    <t>8499A35</t>
  </si>
  <si>
    <t>Spring Plunger,1/4-20 x .53 w/delrin pusher</t>
  </si>
  <si>
    <t>91185A233</t>
  </si>
  <si>
    <t>Plastic Head Thumb Screw 4-40 x 1/4</t>
  </si>
  <si>
    <t>B8-1</t>
  </si>
  <si>
    <t>91292A116</t>
  </si>
  <si>
    <t>18-8 stainless steel socket head screw M4x10</t>
  </si>
  <si>
    <t>91294A12B</t>
  </si>
  <si>
    <t>M3X8mm steel flat head screw</t>
  </si>
  <si>
    <t>91294A186</t>
  </si>
  <si>
    <t xml:space="preserve">Flatsocket Head Screw Steel M4x6mm </t>
  </si>
  <si>
    <t>drawer</t>
  </si>
  <si>
    <t>91294A192</t>
  </si>
  <si>
    <t>M4X12 flat head screw SS</t>
  </si>
  <si>
    <t>91390A110</t>
  </si>
  <si>
    <t>set screw alloy steel cup-point M4x.7mmthread 4M-L</t>
  </si>
  <si>
    <t>91390A403</t>
  </si>
  <si>
    <t>CUP PT SET SCREW M4X03MM 91390A403</t>
  </si>
  <si>
    <t>C7-4</t>
  </si>
  <si>
    <t>91746A113</t>
  </si>
  <si>
    <t>THUMB-SCREW 4-40 5/16</t>
  </si>
  <si>
    <t>91828A231</t>
  </si>
  <si>
    <t>M4 LOCKING NUT</t>
  </si>
  <si>
    <t>92015A110</t>
  </si>
  <si>
    <t>18-8 ss cup-point set screw,m4x0.7thread,4mmL</t>
  </si>
  <si>
    <t>92015A113</t>
  </si>
  <si>
    <r>
      <rPr/>
      <t>M4X8MM SET SCREWS 18</t>
    </r>
    <r>
      <rPr>
        <sz val="9.0"/>
      </rPr>
      <t>-8 SS Cup-Point 0.07mm</t>
    </r>
  </si>
  <si>
    <t>92015A114</t>
  </si>
  <si>
    <t>18-8 ss cup-point set screw,m4x0.7thread,10mmL</t>
  </si>
  <si>
    <t>92015A115</t>
  </si>
  <si>
    <t>18-8 ss cup-point set screw,m4x0.7thread,12mmL</t>
  </si>
  <si>
    <t>92015A116</t>
  </si>
  <si>
    <t>M4X16MM SET SCREWS 18-8 SS Cup-Point 0.07mm</t>
  </si>
  <si>
    <t>92125A410</t>
  </si>
  <si>
    <t>18-8ss hexDrflathead screw, M12x20mm 1.75thread</t>
  </si>
  <si>
    <t xml:space="preserve">92311A537 </t>
  </si>
  <si>
    <t xml:space="preserve">1/4‐20 x 1/2"L SET SCREWS </t>
  </si>
  <si>
    <t xml:space="preserve">                              </t>
  </si>
  <si>
    <t>92545A143</t>
  </si>
  <si>
    <t>THUMB SCREW M4X9MM 92545A143</t>
  </si>
  <si>
    <t>93235A321</t>
  </si>
  <si>
    <t>M4 X 0.7 FINE THREAD LOCKING COLLAR</t>
  </si>
  <si>
    <t>C5-1</t>
  </si>
  <si>
    <t>93339A064</t>
  </si>
  <si>
    <r>
      <rPr/>
      <t>AlloySteelBall-PointSetScrew,M4x0.7m</t>
    </r>
    <r>
      <rPr>
        <sz val="9.0"/>
      </rPr>
      <t>m Thread,8mm L</t>
    </r>
  </si>
  <si>
    <t>93339A205</t>
  </si>
  <si>
    <t>alloysteel ball-point setscrew,M6x1mm thread,10.8mmL</t>
  </si>
  <si>
    <t>93475A230</t>
  </si>
  <si>
    <t>18-8 SS Washer for M4 Screw Size, 4.3 mm ID, 9 mm OD</t>
  </si>
  <si>
    <t xml:space="preserve">93615A405        </t>
  </si>
  <si>
    <t>1/4-20X375 low profie SOCKET HEADCAP SCREW</t>
  </si>
  <si>
    <t>9368T14</t>
  </si>
  <si>
    <t>SAE 841 BronzeSleeveBearing for1/4 shaft Dia.3/8H-ID/3/8L</t>
  </si>
  <si>
    <t>9452K15</t>
  </si>
  <si>
    <t>O-RING 1/16'' WIDTH X 5/32'' 10 X 9/32'' OD</t>
  </si>
  <si>
    <t>C5-3</t>
  </si>
  <si>
    <t>96016A117</t>
  </si>
  <si>
    <t>9657K269</t>
  </si>
  <si>
    <t>Light Force Spring .24ODX.196IDX.5L</t>
  </si>
  <si>
    <t xml:space="preserve">       </t>
  </si>
  <si>
    <t>Light Force  .24ODX.196IDX.5L                SPRING</t>
  </si>
  <si>
    <t>9657K271</t>
  </si>
  <si>
    <t>High Force .24ODX.182IDX.5L                  SPRING</t>
  </si>
  <si>
    <t>9657K272</t>
  </si>
  <si>
    <t>Medium Force .25ODX.198IDX.5L            SPRING</t>
  </si>
  <si>
    <t>9657K291</t>
  </si>
  <si>
    <t>SPRING 9657K291</t>
  </si>
  <si>
    <t>C7-2</t>
  </si>
  <si>
    <t>98407A118</t>
  </si>
  <si>
    <t>3/16 RETAINING RING ZINC YELLOW COLOR</t>
  </si>
  <si>
    <t>B14-4</t>
  </si>
  <si>
    <t>98625A110</t>
  </si>
  <si>
    <t>Fine Threaded Ball Nose set screw 3/16-100x3/8</t>
  </si>
  <si>
    <t>98625A160</t>
  </si>
  <si>
    <t>Fine Threaded Ball Nose set screw 3/16-100x3/4</t>
  </si>
  <si>
    <t>98625A320</t>
  </si>
  <si>
    <t xml:space="preserve">3/16-100 Threaded Bushing </t>
  </si>
  <si>
    <t>A2-001</t>
  </si>
  <si>
    <t>15MM</t>
  </si>
  <si>
    <t>12.4MM</t>
  </si>
  <si>
    <t>D5-SHELF</t>
  </si>
  <si>
    <t>PUCK UN-PLATED</t>
  </si>
  <si>
    <t>E3</t>
  </si>
  <si>
    <t>AMC Apple Mfg.</t>
  </si>
  <si>
    <t>A54-PRY-STD-001</t>
  </si>
  <si>
    <t>ROTARY CARTRIDGE</t>
  </si>
  <si>
    <t>G2</t>
  </si>
  <si>
    <t>OPTICAL FLAT CARTRIDGE</t>
  </si>
  <si>
    <t>B3-1</t>
  </si>
  <si>
    <t>A55-PRY-STD-001</t>
  </si>
  <si>
    <t>A55 Reticle Cartridge Holder</t>
  </si>
  <si>
    <t>B3-2</t>
  </si>
  <si>
    <t>A55-PRY-STD-002</t>
  </si>
  <si>
    <t>Reticle Cartridge Cover (Method ABSCF or Nylon12CF)</t>
  </si>
  <si>
    <t>B5-2</t>
  </si>
  <si>
    <t>A56-PRY-STD-000</t>
  </si>
  <si>
    <t>CAL Sphere &amp; Stem</t>
  </si>
  <si>
    <t>C11-4</t>
  </si>
  <si>
    <t>A56-PRY-STD-001</t>
  </si>
  <si>
    <t xml:space="preserve">0 Degree Calibration Stem Base </t>
  </si>
  <si>
    <t>C-12-1</t>
  </si>
  <si>
    <t>0 Degree Calibration Stem Base</t>
  </si>
  <si>
    <t>C12-2</t>
  </si>
  <si>
    <t>C12-3</t>
  </si>
  <si>
    <t>A56-PRY-STD-002</t>
  </si>
  <si>
    <t>45 Degree Calibration Stem Base</t>
  </si>
  <si>
    <t>C10-4</t>
  </si>
  <si>
    <t>A56-PRY-STD-004</t>
  </si>
  <si>
    <t>Touch Probe Artifact Cartridge</t>
  </si>
  <si>
    <t>B4-2</t>
  </si>
  <si>
    <t>A57-PRY-STD-001</t>
  </si>
  <si>
    <t>Laser Artifact Cartridge</t>
  </si>
  <si>
    <t>B4-3</t>
  </si>
  <si>
    <t>A57-PRY-STD-002</t>
  </si>
  <si>
    <t>A57 Laser Artifact Cartridge Cover</t>
  </si>
  <si>
    <t>B5-3</t>
  </si>
  <si>
    <t>A58-PRY-STD-001</t>
  </si>
  <si>
    <t>A58 Ring Gage Cartridge</t>
  </si>
  <si>
    <t>B4-4 &amp; E2</t>
  </si>
  <si>
    <t>A58-PRY-STD-002</t>
  </si>
  <si>
    <t>Zeiss standardized Ring Gage</t>
  </si>
  <si>
    <t>B4-4</t>
  </si>
  <si>
    <t>A59-PRY-STD-001</t>
  </si>
  <si>
    <t>Gage Block Cartridge</t>
  </si>
  <si>
    <t>B5-1</t>
  </si>
  <si>
    <t xml:space="preserve">A60-PRY-STD-200150 </t>
  </si>
  <si>
    <t>Calibration Insert for Sphere, Reticle, Gage Block, Ring Gage, &amp; Laser Artifact Cartridges</t>
  </si>
  <si>
    <t>F2-3</t>
  </si>
  <si>
    <t>A60-PRY-STD-200200</t>
  </si>
  <si>
    <t>F2-2</t>
  </si>
  <si>
    <t xml:space="preserve">A60-PRY-STD-300150 </t>
  </si>
  <si>
    <t>Calibration Insert 300150 Size</t>
  </si>
  <si>
    <t>F2-4</t>
  </si>
  <si>
    <t>AF5620</t>
  </si>
  <si>
    <t>Valve Plate w/12.4 MM Pin Offset</t>
  </si>
  <si>
    <t>F2-0</t>
  </si>
  <si>
    <t>ANG-003</t>
  </si>
  <si>
    <t>RAIL PLATES SET</t>
  </si>
  <si>
    <t>DS-9</t>
  </si>
  <si>
    <t>ASMD-449SA</t>
  </si>
  <si>
    <t>PLATE BASE (E-Z AIDE)</t>
  </si>
  <si>
    <t>D2-SHELF</t>
  </si>
  <si>
    <t>BAXTER</t>
  </si>
  <si>
    <t>B11-OGP-SSF-500450 BRIDGE</t>
  </si>
  <si>
    <t>Flash 500x450 Bridge</t>
  </si>
  <si>
    <t>LAB 2-5/9/10/11</t>
  </si>
  <si>
    <t>B11-OGP-SSF-500450 LL</t>
  </si>
  <si>
    <t>Flash 500x450 Leg</t>
  </si>
  <si>
    <t>LAB 2-8/9/10</t>
  </si>
  <si>
    <t>B11-OGP-SSQ-450450 &amp; 450600 FB</t>
  </si>
  <si>
    <t>B11- QUEST 450x450 &amp; 450x600 Leg (SAME FOR BOTH SYSTEMS)</t>
  </si>
  <si>
    <t>LAB 2-7</t>
  </si>
  <si>
    <t>B11-OGP-SSQ-450450 BRIDGE</t>
  </si>
  <si>
    <t>B11-450450 Bridge</t>
  </si>
  <si>
    <t>LAB 2-6</t>
  </si>
  <si>
    <t>B11-OGP-SSQ-450600 BRIDGE</t>
  </si>
  <si>
    <t>B11-450600 Bridge</t>
  </si>
  <si>
    <t>B40900</t>
  </si>
  <si>
    <t>CHARTER</t>
  </si>
  <si>
    <t>B1-1</t>
  </si>
  <si>
    <t>BMI-PYE-STD</t>
  </si>
  <si>
    <t>Universal Base Magnetic Insert</t>
  </si>
  <si>
    <t>D3-10</t>
  </si>
  <si>
    <t>C11-OGP-SSF-300300</t>
  </si>
  <si>
    <t>OGP 300 Corner Nest</t>
  </si>
  <si>
    <t>E4</t>
  </si>
  <si>
    <t>C11-OGP-SSF-500450</t>
  </si>
  <si>
    <t>Magnetic Corner Connection</t>
  </si>
  <si>
    <t>E2-8</t>
  </si>
  <si>
    <t>OGP 500 Corner Nest</t>
  </si>
  <si>
    <t>D1-1</t>
  </si>
  <si>
    <t>C11-PRY-STD-001</t>
  </si>
  <si>
    <t>Corner Insert (SMALL)</t>
  </si>
  <si>
    <t>C12-PRY-STD-001</t>
  </si>
  <si>
    <t>Corner Insert (MEDIUM)</t>
  </si>
  <si>
    <t>C13-PRY-STD-001</t>
  </si>
  <si>
    <t>C13 CORNER INSERT ASSEMBLY(6061 ALUM)</t>
  </si>
  <si>
    <t>C14-PRY-STD-001</t>
  </si>
  <si>
    <t xml:space="preserve">MICRO CORNER </t>
  </si>
  <si>
    <t>C8-3</t>
  </si>
  <si>
    <t>C14-PRY-STD-002</t>
  </si>
  <si>
    <t>C11&amp;N11 Corner Inserts &amp; Nests (6061alum)</t>
  </si>
  <si>
    <t>???</t>
  </si>
  <si>
    <t>C55745-0001</t>
  </si>
  <si>
    <t>with set screw</t>
  </si>
  <si>
    <t>with-out set screw</t>
  </si>
  <si>
    <t>Carrying C</t>
  </si>
  <si>
    <t>U-TABLE</t>
  </si>
  <si>
    <t>CNC-MMT363-MONPLA</t>
  </si>
  <si>
    <t xml:space="preserve">Black Chrome Plate </t>
  </si>
  <si>
    <t>D5-9</t>
  </si>
  <si>
    <t>microlution</t>
  </si>
  <si>
    <t>DS2-ZSS-CMM-100</t>
  </si>
  <si>
    <t>6575N227: 6" L T-Slotted Rail, 3" H X 3/4" W</t>
  </si>
  <si>
    <t>DS2-ZSS-CMM-210</t>
  </si>
  <si>
    <t>47065T023: 18" L Double Slotted T-Rail</t>
  </si>
  <si>
    <t>DS2-ZSS-CMM-330</t>
  </si>
  <si>
    <t>47065T812: 18" L T-Slotted Single Rail</t>
  </si>
  <si>
    <t>DS2-ZSS-CMM-340</t>
  </si>
  <si>
    <t>6575N233: 24" L T-Slotted Single Rail</t>
  </si>
  <si>
    <t>DS2-ZSS-CMM-400</t>
  </si>
  <si>
    <t>47065T736: Gusset Base Bracket</t>
  </si>
  <si>
    <t>DS2-ZSS-CMM-410</t>
  </si>
  <si>
    <t>47065T241: 3" L Corner Bracket</t>
  </si>
  <si>
    <t>DS2-ZSS-CMM-420</t>
  </si>
  <si>
    <t>47065T845: 1.5" L Corner Bracket</t>
  </si>
  <si>
    <t>DS2-ZSS-CMM-430</t>
  </si>
  <si>
    <t>47065T238: Double Corner Bracket</t>
  </si>
  <si>
    <t>DS2-ZSS-CMM-440</t>
  </si>
  <si>
    <t>47065T258: 3"x3" Surface Bracket</t>
  </si>
  <si>
    <t>DS2-ZSS-OIN-100</t>
  </si>
  <si>
    <t>3136N35: 12" T-Slotted Rail</t>
  </si>
  <si>
    <t>DS2-ZSS-OIN-200</t>
  </si>
  <si>
    <t>6294K442: Nylon Bushing</t>
  </si>
  <si>
    <t>DS2-ZSS-OIN-300</t>
  </si>
  <si>
    <t>8934K292: 7/16" SS Rail</t>
  </si>
  <si>
    <t>DS2-ZSS-OIN-400</t>
  </si>
  <si>
    <t>Mounting Bracket (Printed)</t>
  </si>
  <si>
    <t>DS2-ZSS-OIN-450</t>
  </si>
  <si>
    <t>Magnetic Mounting Adapter (Printed)</t>
  </si>
  <si>
    <t>F11-PRY-STD-001</t>
  </si>
  <si>
    <t>M4 X 0.7 FINE THREAD FOOT</t>
  </si>
  <si>
    <t>C5-1 &amp; D1</t>
  </si>
  <si>
    <t>F12-PRY-STD-001</t>
  </si>
  <si>
    <t>Foot Cover for 300300</t>
  </si>
  <si>
    <t>B10-2</t>
  </si>
  <si>
    <t>F12-PRY-STD-002</t>
  </si>
  <si>
    <t>Foot Cover for 200200 (Assembled/Printed)</t>
  </si>
  <si>
    <t>F12-PRY-STD-003</t>
  </si>
  <si>
    <t>Foot Cover for 200150, 300150, 300200 (Assembled/Printed)</t>
  </si>
  <si>
    <t>4</t>
  </si>
  <si>
    <t>F12-PRY-STD-004</t>
  </si>
  <si>
    <t>Foot Cover for 500450 (Assembled/Printed)</t>
  </si>
  <si>
    <t>8/0</t>
  </si>
  <si>
    <t>F12-PRY-STD-005 L</t>
  </si>
  <si>
    <t>Foot Cover for 150075 Left (Assembled/Printed)</t>
  </si>
  <si>
    <t>5/0</t>
  </si>
  <si>
    <t>F12-PRY-STD-005 R</t>
  </si>
  <si>
    <t>Foot Cover for 150075 Right (Assembled/Printed)</t>
  </si>
  <si>
    <t>F15-PRY-STD-001</t>
  </si>
  <si>
    <t>F15-ADJUSTABLE LEVELING FOOT</t>
  </si>
  <si>
    <t>C5-2</t>
  </si>
  <si>
    <t>F16-PRY-STD-001</t>
  </si>
  <si>
    <t>500450 Foot Cover</t>
  </si>
  <si>
    <t>H11-HANDLE 4inch</t>
  </si>
  <si>
    <t>SS HANDLE:1/4 OD X 4''L</t>
  </si>
  <si>
    <t>H11-PRY-STD-001 LOW PROFILE</t>
  </si>
  <si>
    <t>LOW PROFILE HANDLE</t>
  </si>
  <si>
    <t>HS22572SH2</t>
  </si>
  <si>
    <t>D2-7</t>
  </si>
  <si>
    <t>HS27245-1</t>
  </si>
  <si>
    <t>WHITE DELRIN 3''</t>
  </si>
  <si>
    <t>D5-8</t>
  </si>
  <si>
    <t>HS27245-2</t>
  </si>
  <si>
    <t>WHITE DELRIN 41/2''</t>
  </si>
  <si>
    <t>HS3536TSH2</t>
  </si>
  <si>
    <t>BLANKS</t>
  </si>
  <si>
    <t>D2-8</t>
  </si>
  <si>
    <t>ENGIS</t>
  </si>
  <si>
    <t>HS360025H2</t>
  </si>
  <si>
    <t>D2-10</t>
  </si>
  <si>
    <t>HS36245</t>
  </si>
  <si>
    <t>Tool Blank</t>
  </si>
  <si>
    <t>D4-4</t>
  </si>
  <si>
    <t>Engis</t>
  </si>
  <si>
    <t>I10-SFR-H10-120080</t>
  </si>
  <si>
    <t>Harcoat Anodized Sneox Insert Base Plate for H10 System</t>
  </si>
  <si>
    <t>F5-5</t>
  </si>
  <si>
    <t>I10-SFR-SNX-300300</t>
  </si>
  <si>
    <t>Harcoat Anodized Sneox Insert Base Plate</t>
  </si>
  <si>
    <t>I12-PRY-STD-150075</t>
  </si>
  <si>
    <t>1/4-20 Threaded Complete Pattern Style acrylic insert</t>
  </si>
  <si>
    <t>F1-1</t>
  </si>
  <si>
    <t>I12-PRY-STD-200200</t>
  </si>
  <si>
    <t xml:space="preserve">1/4-20 Threaded Complete Pattern Style acrylic insert  </t>
  </si>
  <si>
    <t>F5-2</t>
  </si>
  <si>
    <t>I12-PRY-STD-300200</t>
  </si>
  <si>
    <t>D5-1</t>
  </si>
  <si>
    <t>I12-PRY-STD-500400</t>
  </si>
  <si>
    <t>1/4-20 Complete Pattern Acrylic Insert (500400)</t>
  </si>
  <si>
    <t>I12-SFR-SNX-300300</t>
  </si>
  <si>
    <t>Black Anodized Complete M4 Pattern Sensofar Insert</t>
  </si>
  <si>
    <t>I21-PRY-STD-200200</t>
  </si>
  <si>
    <t>M4 Threaded Cross Pattern Style acrylic insert</t>
  </si>
  <si>
    <t>F5</t>
  </si>
  <si>
    <t>I21-PRY-STD-300200</t>
  </si>
  <si>
    <t>D5-2</t>
  </si>
  <si>
    <t>I22-PRY-STD-200150</t>
  </si>
  <si>
    <t>M4 Threaded Complete Pattern Style acrylic insert</t>
  </si>
  <si>
    <t>I22-PRY-STD-200200</t>
  </si>
  <si>
    <t>F3-4</t>
  </si>
  <si>
    <t>I22-PRY-STD-300150</t>
  </si>
  <si>
    <t>F3-1</t>
  </si>
  <si>
    <t>I22-PRY-STD-300200</t>
  </si>
  <si>
    <t>F2-5</t>
  </si>
  <si>
    <t>I22-PRY-STD-300300</t>
  </si>
  <si>
    <t>I22-PRY-STD-500400</t>
  </si>
  <si>
    <t>M4 Complete Pattern Acrylic Insert (500400)</t>
  </si>
  <si>
    <t>I32-MTI-SUR-100100</t>
  </si>
  <si>
    <t>Mitutoyo Surftester 1/4-20 Thread Mounting Plate</t>
  </si>
  <si>
    <t>B1-4</t>
  </si>
  <si>
    <t>I32-PRY-STD-300300</t>
  </si>
  <si>
    <t>1/4-20 Aluminum Insert 300300 Size</t>
  </si>
  <si>
    <t xml:space="preserve">F3-5 </t>
  </si>
  <si>
    <t xml:space="preserve">             </t>
  </si>
  <si>
    <t>I32-PRY-STD-400400</t>
  </si>
  <si>
    <t>1/4-20 Aluminum Insert 400400 Size</t>
  </si>
  <si>
    <t>I32-PRY-STD-500950</t>
  </si>
  <si>
    <t>1/4-20 Aluminum Insert 500950 (20"x38"x0.625")</t>
  </si>
  <si>
    <t>I32-ZSS-ACA-0900400</t>
  </si>
  <si>
    <t>1/4-20 Complete Pattern Aluminum 36.00''x15.69''x.625''</t>
  </si>
  <si>
    <t>SIDE F-RACK</t>
  </si>
  <si>
    <t>I33-MTI-SUR-100100</t>
  </si>
  <si>
    <t>Mitutoyo Surftester m4 Thread Mounting Plate</t>
  </si>
  <si>
    <t>I3X-PRY-STD-300300</t>
  </si>
  <si>
    <t>Aluminum Insert Template 300300 Size</t>
  </si>
  <si>
    <t>F4-4</t>
  </si>
  <si>
    <t xml:space="preserve">           </t>
  </si>
  <si>
    <t>I41-PRY-STD-002</t>
  </si>
  <si>
    <t>ANVIL STYLE :002</t>
  </si>
  <si>
    <t>I41-PRY-STD-007</t>
  </si>
  <si>
    <t>ANVIL STYLE :007</t>
  </si>
  <si>
    <t>I41-PRY-STD-008</t>
  </si>
  <si>
    <t>ANVIL STYLE :008</t>
  </si>
  <si>
    <t>I41-PRY-STD-009</t>
  </si>
  <si>
    <t>ANVIL STYLE :009</t>
  </si>
  <si>
    <t>IXX-OGP-AVT-200150</t>
  </si>
  <si>
    <t>10.5 X 7.250 X 1 Acrylic Template</t>
  </si>
  <si>
    <t>F2-1</t>
  </si>
  <si>
    <t>IXX-OGP-SSF-200200</t>
  </si>
  <si>
    <t>9.5 x 9.5 x 1. Acrylic Template</t>
  </si>
  <si>
    <t>F5-SHELF</t>
  </si>
  <si>
    <t>IXX-OGP-SSF-200200 STEEL INSERT</t>
  </si>
  <si>
    <r>
      <rPr/>
      <t xml:space="preserve">IXX-PRY-STD-200200 STEEL INSERT </t>
    </r>
    <r>
      <rPr>
        <b/>
        <sz val="6.0"/>
      </rPr>
      <t>(200-SIDE-ACRYLIC-7.8'')</t>
    </r>
  </si>
  <si>
    <t>B11-2</t>
  </si>
  <si>
    <t>IXX-OGP-SSF-300150</t>
  </si>
  <si>
    <t>14.5 x 7.25 x 1. Acrylic Template</t>
  </si>
  <si>
    <t>F3-1 / A13-1</t>
  </si>
  <si>
    <t>IXX-OGP-SSF-300150 STEEL INSERT X</t>
  </si>
  <si>
    <t>IXX-PRY-STD-300150: STEEL INSERT X</t>
  </si>
  <si>
    <t>B12-4</t>
  </si>
  <si>
    <t>IXX-OGP-SSF-300150 STEEL INSERT Y</t>
  </si>
  <si>
    <r>
      <rPr/>
      <t xml:space="preserve">IXX-PRY-STD-300150: STEEL INSERT Y </t>
    </r>
    <r>
      <rPr>
        <b/>
        <sz val="6.0"/>
      </rPr>
      <t>(150-SIDE-ACRYLIC-5.35'')</t>
    </r>
  </si>
  <si>
    <t>B11-4</t>
  </si>
  <si>
    <t>IXX-OGP-SSF-300300</t>
  </si>
  <si>
    <t>14. x 14 x 1. Acrylic Template</t>
  </si>
  <si>
    <t>F5 &amp; F4</t>
  </si>
  <si>
    <t>IXX-OGP-SSF-STEEL INSERT</t>
  </si>
  <si>
    <r>
      <rPr/>
      <t xml:space="preserve">300300: STEEL INSERT        </t>
    </r>
    <r>
      <rPr>
        <b/>
      </rPr>
      <t xml:space="preserve">                   </t>
    </r>
    <r>
      <rPr>
        <b/>
        <sz val="6.0"/>
      </rPr>
      <t>(300-SIDE-ACRYLIC-12'')</t>
    </r>
  </si>
  <si>
    <t>B11-1 &amp; B13-1</t>
  </si>
  <si>
    <t>IXX-OGP-SSQ-500450 STEEL INSERT X</t>
  </si>
  <si>
    <r>
      <rPr/>
      <t xml:space="preserve">STEEL INSERT X-AXIS                        </t>
    </r>
    <r>
      <rPr>
        <b/>
      </rPr>
      <t xml:space="preserve">  </t>
    </r>
    <r>
      <rPr>
        <b/>
        <sz val="6.0"/>
      </rPr>
      <t xml:space="preserve"> (500-SIDE-ACRYLIC-18'')</t>
    </r>
  </si>
  <si>
    <r>
      <rPr>
        <sz val="8.0"/>
      </rPr>
      <t xml:space="preserve">IXX-OGP-SSQ-500450 STEEL INSERT </t>
    </r>
    <r>
      <rPr/>
      <t>Y</t>
    </r>
  </si>
  <si>
    <r>
      <rPr/>
      <t xml:space="preserve">STEEL INSERT 500450 Y-Axis            </t>
    </r>
    <r>
      <rPr>
        <b/>
        <sz val="6.0"/>
      </rPr>
      <t>(450-SIDE-ACRYLIC-12.75'')</t>
    </r>
  </si>
  <si>
    <t>B10-1</t>
  </si>
  <si>
    <t>IXX-PRY-SSF-300300</t>
  </si>
  <si>
    <t>300300 XY-Axis Steel Insert</t>
  </si>
  <si>
    <t>B11-1</t>
  </si>
  <si>
    <t>IXX-PRY-STD-150075</t>
  </si>
  <si>
    <t>9 X 5.250 X 1 Acrylic Template</t>
  </si>
  <si>
    <t>IXX-PRY-STD-300200</t>
  </si>
  <si>
    <t>14.5 X 9.5 X 1 Acrylic Template</t>
  </si>
  <si>
    <t>F3-2 / G4</t>
  </si>
  <si>
    <t>IXX-PRY-STD-300300</t>
  </si>
  <si>
    <t>H5</t>
  </si>
  <si>
    <t>IXX-PRY-STD-300300 STEEL INSERT XY</t>
  </si>
  <si>
    <r>
      <rPr/>
      <t xml:space="preserve">IXX-PRY-STD- 300300 STEEL INSERT XY </t>
    </r>
    <r>
      <rPr>
        <b/>
        <sz val="6.0"/>
      </rPr>
      <t>(300-SIDE-ALUMINUM-11.375'')</t>
    </r>
  </si>
  <si>
    <t>B11-3</t>
  </si>
  <si>
    <t>IXX-PRY-STD-400400</t>
  </si>
  <si>
    <t>Aluminum Insert Template 400400 Size</t>
  </si>
  <si>
    <t>IXX-PRY-STD-500400</t>
  </si>
  <si>
    <t>19.5" x 17" x 1" Acrylic Template</t>
  </si>
  <si>
    <t>G3</t>
  </si>
  <si>
    <t>IXX-PRY-STD-500450</t>
  </si>
  <si>
    <t>20.75 X 9.5 X 1 Acrylic Template</t>
  </si>
  <si>
    <t>F2-6</t>
  </si>
  <si>
    <t>IXX-PRY-STD-800820</t>
  </si>
  <si>
    <t>ACRYLIC INSERT TEMPLETE, SIZE 800820</t>
  </si>
  <si>
    <t>H4</t>
  </si>
  <si>
    <t>JAE TEMPLATE</t>
  </si>
  <si>
    <t>5-1/2 X 7-3/8 PLATE</t>
  </si>
  <si>
    <t>K11-PRY-STD-000</t>
  </si>
  <si>
    <t>K11 Kinematic Dock Mount Assembly</t>
  </si>
  <si>
    <t>K11-PRY-STD-002</t>
  </si>
  <si>
    <t>K11 BASE BOTTOM PUCK</t>
  </si>
  <si>
    <t>C11-2 &amp; E1</t>
  </si>
  <si>
    <t>K11-PRY-STD-003</t>
  </si>
  <si>
    <t>K11 BASE TOP PUCK  (DOCKBASE)</t>
  </si>
  <si>
    <t>C11-3</t>
  </si>
  <si>
    <t>K11-PRY-STD-004</t>
  </si>
  <si>
    <t>KMD SLIDE BAR Component w/Optional 450 Stage Mounting Holes</t>
  </si>
  <si>
    <t>K13-MTI-SUR-001</t>
  </si>
  <si>
    <t>Mitutoyo Surftester Stage Mounting Puck</t>
  </si>
  <si>
    <t>KIT-PRY-A56-002</t>
  </si>
  <si>
    <t>A56 Alibration Kit</t>
  </si>
  <si>
    <t>MDDS &amp; KMD Assembly Kit</t>
  </si>
  <si>
    <t>F4-5 E5-1</t>
  </si>
  <si>
    <t>~5</t>
  </si>
  <si>
    <t>Catepillar</t>
  </si>
  <si>
    <t>MDDS-12-0613-1</t>
  </si>
  <si>
    <t>Double Master Disc Stand Assembly</t>
  </si>
  <si>
    <t>MDS-11132010</t>
  </si>
  <si>
    <t>LOCKING RING</t>
  </si>
  <si>
    <t>D5-3 &amp; D5-4</t>
  </si>
  <si>
    <t>42 / 66</t>
  </si>
  <si>
    <t>BCM</t>
  </si>
  <si>
    <t>N11-OGP-SSF-200200</t>
  </si>
  <si>
    <t>Flash 200 Aluminum Hardcoated Corner Nest</t>
  </si>
  <si>
    <t>E5</t>
  </si>
  <si>
    <t>N11-PRY-STD-150075</t>
  </si>
  <si>
    <t>Aluminum Hardcoated Corner Nest</t>
  </si>
  <si>
    <t>E4-1</t>
  </si>
  <si>
    <t>N11-PRY-STD-200200</t>
  </si>
  <si>
    <t>E4-2</t>
  </si>
  <si>
    <t>N11-PRY-STD-300150</t>
  </si>
  <si>
    <t>E4-3</t>
  </si>
  <si>
    <t>N11-PRY-STD-300300</t>
  </si>
  <si>
    <t xml:space="preserve">                  </t>
  </si>
  <si>
    <t>N11-PRY-STD-500450</t>
  </si>
  <si>
    <t>E4-4</t>
  </si>
  <si>
    <t>N11-VIS-SPR-200100</t>
  </si>
  <si>
    <t xml:space="preserve">3D Printed Corner Nest </t>
  </si>
  <si>
    <t>N12-PRY-STD-001</t>
  </si>
  <si>
    <t>Magnetic puck                             MICRO</t>
  </si>
  <si>
    <t>C9-4</t>
  </si>
  <si>
    <t xml:space="preserve">                 </t>
  </si>
  <si>
    <t>N12-PRY-STD-002</t>
  </si>
  <si>
    <t>Magnetic puck                             SMALL</t>
  </si>
  <si>
    <t>C9-3</t>
  </si>
  <si>
    <t>N12-PRY-STD-003</t>
  </si>
  <si>
    <t>Magnetic puck                             MEDIUM</t>
  </si>
  <si>
    <t>C9-2</t>
  </si>
  <si>
    <t>N12-PRY-STD-004</t>
  </si>
  <si>
    <t>Magnetic puck                             LARGE</t>
  </si>
  <si>
    <t>C9-1 E1&amp;2</t>
  </si>
  <si>
    <t>N12-PRY-STD-005</t>
  </si>
  <si>
    <t xml:space="preserve">Custom Puck Washer </t>
  </si>
  <si>
    <t>E4-9</t>
  </si>
  <si>
    <t>N13-PRY-STD-001</t>
  </si>
  <si>
    <t>Universal Corner Adaptor</t>
  </si>
  <si>
    <t>C10-1</t>
  </si>
  <si>
    <t>N13-PRY-STD-002</t>
  </si>
  <si>
    <t>Corner Adaptor Universal Mount Adaptor</t>
  </si>
  <si>
    <t>C10-2/H2</t>
  </si>
  <si>
    <t>OC Kit Misc</t>
  </si>
  <si>
    <t>OC Kit Misc. Assembly Components</t>
  </si>
  <si>
    <t>OC 1 Drawer</t>
  </si>
  <si>
    <t>OC1-PRY-STD-001</t>
  </si>
  <si>
    <t>OC1 Modular Base Assembly</t>
  </si>
  <si>
    <t>LAB 1-3</t>
  </si>
  <si>
    <t>OC1-PRY-STD-002</t>
  </si>
  <si>
    <t>OC2-PRY-STD-001</t>
  </si>
  <si>
    <t>OC2-PRY-STD-002</t>
  </si>
  <si>
    <t>OC2-PRY-STD-101</t>
  </si>
  <si>
    <t>OC3-PRY-STD-001</t>
  </si>
  <si>
    <t>OC3-PRY-STD-002</t>
  </si>
  <si>
    <t>OC3 Locking Pin &amp; Pin Grip</t>
  </si>
  <si>
    <t>LAB 1-2</t>
  </si>
  <si>
    <t>OC3-PRY-STD-101</t>
  </si>
  <si>
    <t>OC3 Universal Rotary</t>
  </si>
  <si>
    <t>LAB 1-3 &amp; 1-4</t>
  </si>
  <si>
    <t>OC3-PRY-STD-102</t>
  </si>
  <si>
    <t>OC3 Chuck Rotary</t>
  </si>
  <si>
    <t>LAB 1-4</t>
  </si>
  <si>
    <t>Rexam-125-Insert-Acrylic</t>
  </si>
  <si>
    <t>Rexam 1/8 (125) Acrylic Insert Template</t>
  </si>
  <si>
    <t>C13-1</t>
  </si>
  <si>
    <t>Rexam-125-Insert-Aluminum</t>
  </si>
  <si>
    <t>Rexam 1/8 (125) Aluminum Insert Template</t>
  </si>
  <si>
    <t>C13-2</t>
  </si>
  <si>
    <t>Rexam-125-Extended-Insert-Aluminum</t>
  </si>
  <si>
    <t>Rexam 1/8 (125) Extended X-Axis Aluminum Insert Template</t>
  </si>
  <si>
    <t>F1-5</t>
  </si>
  <si>
    <t>Rexam-250-Insert-Acylic</t>
  </si>
  <si>
    <t>Rexam 1/4 (250) Acrylic Insert Template</t>
  </si>
  <si>
    <t>F1-6</t>
  </si>
  <si>
    <t>Rexam-250-Insert-Aluminum</t>
  </si>
  <si>
    <t>Rexam 1/4 (250) Aluminum Insert Template</t>
  </si>
  <si>
    <t>C13-3 / C13-4</t>
  </si>
  <si>
    <t>Rexam-250-Extended-Insert-Aluminum</t>
  </si>
  <si>
    <t>Rexam 1/4 (250) Extended Y-Axis Aluminum Insert Template</t>
  </si>
  <si>
    <t>F1-2</t>
  </si>
  <si>
    <t>RXD-066-100 Bar</t>
  </si>
  <si>
    <t xml:space="preserve">Nemera Base Bar </t>
  </si>
  <si>
    <t>F1-3</t>
  </si>
  <si>
    <t>RXD-066-100 Tees</t>
  </si>
  <si>
    <t>Tees for Nemera Base Bar</t>
  </si>
  <si>
    <t>SO1‐500‐2000‐001</t>
  </si>
  <si>
    <t>1/4‐20 SO 1/2" OD x 2" L</t>
  </si>
  <si>
    <t>A6-3</t>
  </si>
  <si>
    <t>SO1‐500‐1000‐001</t>
  </si>
  <si>
    <t>1/4‐20 SO 1/2" OD x 1" L</t>
  </si>
  <si>
    <t xml:space="preserve">SO1‐500‐500‐001 </t>
  </si>
  <si>
    <t xml:space="preserve">1/4‐20 SO 1/2" OD x 1/2" L </t>
  </si>
  <si>
    <t>A6-4</t>
  </si>
  <si>
    <t xml:space="preserve">S02‐188‐375‐001 </t>
  </si>
  <si>
    <t xml:space="preserve">M4 SO 3/16" OD x 3/8" L </t>
  </si>
  <si>
    <t>B6-1</t>
  </si>
  <si>
    <t xml:space="preserve">S02‐188‐500‐001 </t>
  </si>
  <si>
    <t xml:space="preserve">M4 SO 3/16" OD x 1/2 L </t>
  </si>
  <si>
    <t>B6-2</t>
  </si>
  <si>
    <t xml:space="preserve">S02‐250‐375‐001 </t>
  </si>
  <si>
    <t xml:space="preserve">M4 SO 1/4" OD x 3/8 L </t>
  </si>
  <si>
    <t>B6-3</t>
  </si>
  <si>
    <t>S02‐250‐375‐002</t>
  </si>
  <si>
    <t xml:space="preserve">M4 STANDOFF 1/4" OD x 3/8 L w/PIN </t>
  </si>
  <si>
    <t xml:space="preserve">C6-3 </t>
  </si>
  <si>
    <t xml:space="preserve">S02‐250‐500‐001 </t>
  </si>
  <si>
    <t xml:space="preserve">M4 SO 1/4" OD x 1/2" L </t>
  </si>
  <si>
    <t>B6-4</t>
  </si>
  <si>
    <t xml:space="preserve">S02‐375‐375‐001 </t>
  </si>
  <si>
    <t xml:space="preserve">M4 SO 3/8" OD x 3/8" L </t>
  </si>
  <si>
    <t>C6-1</t>
  </si>
  <si>
    <t xml:space="preserve">S02‐375‐375‐002 </t>
  </si>
  <si>
    <t xml:space="preserve">M4 SO 3/8" OD x 3/8" L w/Pin </t>
  </si>
  <si>
    <t>C6-4</t>
  </si>
  <si>
    <t xml:space="preserve">S02‐375‐500‐001 </t>
  </si>
  <si>
    <t xml:space="preserve">M4 SO 3/8" OD x 1/2" L </t>
  </si>
  <si>
    <t>C6-2</t>
  </si>
  <si>
    <t xml:space="preserve">S02‐375‐500‐003 </t>
  </si>
  <si>
    <t xml:space="preserve">SPRING PIN STANDOFF 3/8" OD X 1/2 L </t>
  </si>
  <si>
    <t>SA-025-300</t>
  </si>
  <si>
    <t>Slide Arm Fixture Component: 1" x 0.25" x 3" w/1/4-20 Hole Black Anodized AL
Stock Dims: 1" x 0.25"</t>
  </si>
  <si>
    <t xml:space="preserve">              </t>
  </si>
  <si>
    <t>SA1-PRY-STD-001</t>
  </si>
  <si>
    <t>SLIDE ARM FIXTURE COMPONENT 3" x 1"</t>
  </si>
  <si>
    <t>A10-1</t>
  </si>
  <si>
    <t xml:space="preserve">SA2‐PRY‐STD‐001 </t>
  </si>
  <si>
    <t xml:space="preserve">MICRO SLIDE ARM </t>
  </si>
  <si>
    <t>SC1-500-165-001</t>
  </si>
  <si>
    <t xml:space="preserve">SC1-PRY-STD-001  0.500  CAP for STANOFF </t>
  </si>
  <si>
    <t>B12-2</t>
  </si>
  <si>
    <t>SC1-750-165-001</t>
  </si>
  <si>
    <t xml:space="preserve">SC1-PRY-STD-001  0.750  CAP for STANOFF </t>
  </si>
  <si>
    <t xml:space="preserve">SC2‐375‐1000‐001 </t>
  </si>
  <si>
    <t xml:space="preserve">ADJUSTABLE CONED RESTING PIN </t>
  </si>
  <si>
    <t xml:space="preserve">SC2‐375‐1000‐002 </t>
  </si>
  <si>
    <t xml:space="preserve">ADJUSTABLE STANDOFF STEM </t>
  </si>
  <si>
    <t>SFB-060-063</t>
  </si>
  <si>
    <t>Black Oxide</t>
  </si>
  <si>
    <t>A7-1</t>
  </si>
  <si>
    <t>SFC-060-063</t>
  </si>
  <si>
    <t>A7-2</t>
  </si>
  <si>
    <t>SFV-050-075</t>
  </si>
  <si>
    <t>Black Oxide-V-Set</t>
  </si>
  <si>
    <t xml:space="preserve">Black Oxide </t>
  </si>
  <si>
    <t>SM-050-050</t>
  </si>
  <si>
    <t>Magnetic Standoff 0.50"Dx 0.50"L 1/4-20</t>
  </si>
  <si>
    <t>A4-1</t>
  </si>
  <si>
    <t>SM-050-100</t>
  </si>
  <si>
    <t>Magnetic Standoff 0.50"Dx 1.00"L 1/4-20</t>
  </si>
  <si>
    <t>A4-2</t>
  </si>
  <si>
    <t>SM-075-050</t>
  </si>
  <si>
    <t>Magnetic Standoff 0.75"Dx0.50"L 1/4-20</t>
  </si>
  <si>
    <t>A4-3</t>
  </si>
  <si>
    <t>SM-075-100</t>
  </si>
  <si>
    <t>Magnetic Standoff 0.75"Dx1.00"L 1/4-20</t>
  </si>
  <si>
    <t>A4-4</t>
  </si>
  <si>
    <t xml:space="preserve">      </t>
  </si>
  <si>
    <t xml:space="preserve">SM1‐500‐1000‐001 </t>
  </si>
  <si>
    <t xml:space="preserve">MAGNETIC STANDOFF 1/2” OD x 1” L </t>
  </si>
  <si>
    <t>B7-1</t>
  </si>
  <si>
    <t xml:space="preserve">SM1‐500‐500‐001 </t>
  </si>
  <si>
    <t xml:space="preserve">MAGNETIC STANDOFF 1/2” OD x 1/2” L </t>
  </si>
  <si>
    <t>B7-2</t>
  </si>
  <si>
    <t xml:space="preserve">SM1‐750‐1000‐001 </t>
  </si>
  <si>
    <t xml:space="preserve">MAGNETIC STANDOFF 3/4” OD x 1” L </t>
  </si>
  <si>
    <t>B7-4</t>
  </si>
  <si>
    <t>replacedw/ss block</t>
  </si>
  <si>
    <t>SM1‐750‐1000‐001 Not Assem.</t>
  </si>
  <si>
    <t>MAGNETIC STANDOFF 3/4” OD x 1” L  Not Assem.</t>
  </si>
  <si>
    <t xml:space="preserve">SM1‐750‐500‐001 </t>
  </si>
  <si>
    <t xml:space="preserve">MAGNETIC STANDOFF 3/4” OD x 1/2” L </t>
  </si>
  <si>
    <t>B7-3</t>
  </si>
  <si>
    <t>SO-050-050</t>
  </si>
  <si>
    <t>Nitrotech Standoff 0.50''Dx0.50''L 1/4-20</t>
  </si>
  <si>
    <t>A2-1</t>
  </si>
  <si>
    <t>SO-050-050-AC</t>
  </si>
  <si>
    <t>Acrylic Standoff 0.50''Dx0.50''L 1/4-20</t>
  </si>
  <si>
    <t>A1-1</t>
  </si>
  <si>
    <t>SO-050-100</t>
  </si>
  <si>
    <t>Nitrotech Standoff 0.50"Dx1.00"L 1/4-20</t>
  </si>
  <si>
    <t>A2-2</t>
  </si>
  <si>
    <t>SO-050-100-AC</t>
  </si>
  <si>
    <t>Acrylic Standoff 0.50"Dx1.000"L 1/4-20</t>
  </si>
  <si>
    <t>A1-2</t>
  </si>
  <si>
    <t>SO-050-125</t>
  </si>
  <si>
    <t>Black Oxide Standoff 0.50"Dx1.25"L 1/4-20</t>
  </si>
  <si>
    <t>A2-3</t>
  </si>
  <si>
    <t>SO-050-200</t>
  </si>
  <si>
    <t>Black Oxide Standoff 0.50"Dx2.00"L 1/4-20</t>
  </si>
  <si>
    <t>A2-4</t>
  </si>
  <si>
    <t>SO-075-050</t>
  </si>
  <si>
    <t>Black Oxide Standoff 0.75"Dx0.50"L 1/4-20</t>
  </si>
  <si>
    <t>A3-1</t>
  </si>
  <si>
    <t>SO-075-050-AC</t>
  </si>
  <si>
    <t>Acrylic Standoff 0.75"Dx0.50"L 1/4-20</t>
  </si>
  <si>
    <t>A1-3</t>
  </si>
  <si>
    <t>SO-075-100</t>
  </si>
  <si>
    <t>Nitrotech Standoff  0.75"Dx1.00"L 1/4-20</t>
  </si>
  <si>
    <t>A3-2</t>
  </si>
  <si>
    <t>SO-075-100-AC</t>
  </si>
  <si>
    <t>Acrylic Standoff 0.75"Dx1.00"L 1/4-20</t>
  </si>
  <si>
    <t>A1-4</t>
  </si>
  <si>
    <t>SO-075-125</t>
  </si>
  <si>
    <t>Black Oxide Standoff 0.75"Dx1.25"L 1/4-20</t>
  </si>
  <si>
    <t>A3-3</t>
  </si>
  <si>
    <t>SO-075-200</t>
  </si>
  <si>
    <t>Black Oxide Standoff 0.75"Dx2.00"L 1/4-20</t>
  </si>
  <si>
    <t>A3-4</t>
  </si>
  <si>
    <t>SO-100-050</t>
  </si>
  <si>
    <t>Black Oxide Standoff 1.0"Dx0.50"L 1/4-20</t>
  </si>
  <si>
    <t>A8-1</t>
  </si>
  <si>
    <t>SO-100-100</t>
  </si>
  <si>
    <t>Black Oxide Standoff 1.0"Dx1.00"L 1/4-20</t>
  </si>
  <si>
    <t>SO-100-125</t>
  </si>
  <si>
    <t>Black Oxide Standoff 1.0"Dx1.25"L 1/4-20</t>
  </si>
  <si>
    <t>A8-3</t>
  </si>
  <si>
    <t>no stk.replaced w/s0-050-050</t>
  </si>
  <si>
    <t>SO-100-200</t>
  </si>
  <si>
    <t>Black Oxide Standoff 1.0"Dx2.00"L 1/4-20</t>
  </si>
  <si>
    <t>SO-1420-M6-050</t>
  </si>
  <si>
    <t>Black Oxide Standoff 0.50"Dx0.50"L 1/4-20m to M6 CONVERTER</t>
  </si>
  <si>
    <t>A6-2</t>
  </si>
  <si>
    <t>SO-1420-M6-100</t>
  </si>
  <si>
    <t>Nitrotech Standoff 0.50"Dx1.00"L 1/4-20 convertor</t>
  </si>
  <si>
    <t>SO-625-050</t>
  </si>
  <si>
    <t>Black Oxide Standoff 0.625"Dx0.50"L 1/4-20</t>
  </si>
  <si>
    <t>A5-2</t>
  </si>
  <si>
    <t>SO-625-100</t>
  </si>
  <si>
    <t>Black Oxide Standoff 0.625"Dx1.00"L 1/4-20SO-625-100</t>
  </si>
  <si>
    <t>A5-3</t>
  </si>
  <si>
    <t>SO-625-125</t>
  </si>
  <si>
    <t>Black Oxide Standoff 0.625"Dx1.25"L 1/4-20</t>
  </si>
  <si>
    <t>A5-4</t>
  </si>
  <si>
    <t>SO-625-200</t>
  </si>
  <si>
    <t>Black Oxide Standoff 0.625"Dx2.00"L 1/4-20</t>
  </si>
  <si>
    <t>A6-1</t>
  </si>
  <si>
    <t>SO1-1000-1000-001</t>
  </si>
  <si>
    <t>1''X1'' STANDOFF 1/4-20 THREAD</t>
  </si>
  <si>
    <t>B2-3</t>
  </si>
  <si>
    <t xml:space="preserve">                   </t>
  </si>
  <si>
    <t>SO1-1000-2000-001</t>
  </si>
  <si>
    <t>1/4-20 2''X1'' STANDOFF 1/4-20 THREAD</t>
  </si>
  <si>
    <t>B2-1</t>
  </si>
  <si>
    <t>B2-2</t>
  </si>
  <si>
    <t>SO1-1000-4000-001</t>
  </si>
  <si>
    <t>4" STANDOFF 1/4-20 THREAD</t>
  </si>
  <si>
    <t>SO1-750-1000-001</t>
  </si>
  <si>
    <t>3/4''X1'' STANOFF 1/4-20 THREAD</t>
  </si>
  <si>
    <t>B2-4</t>
  </si>
  <si>
    <t>SO1-750-500-001</t>
  </si>
  <si>
    <t>B3-4</t>
  </si>
  <si>
    <t xml:space="preserve">SO5‐PRY‐STD‐001 </t>
  </si>
  <si>
    <t xml:space="preserve">M4 TO 1/4‐20 CONVERTER </t>
  </si>
  <si>
    <t>C7-1</t>
  </si>
  <si>
    <t>SP2-250-500-002</t>
  </si>
  <si>
    <t>Pusher Body for SP2-250-500-001 &amp; SP2-375-475-002 Assemblies</t>
  </si>
  <si>
    <t>B8-2</t>
  </si>
  <si>
    <t>SP2-250-500-003</t>
  </si>
  <si>
    <t>M4 Cone Washer to Fill 1/4-20 Chamfered Hole</t>
  </si>
  <si>
    <t xml:space="preserve">SP2‐250‐500‐001 </t>
  </si>
  <si>
    <t xml:space="preserve">NON‐MARRING CONICAL RESTING PIN </t>
  </si>
  <si>
    <t xml:space="preserve">SP2‐375‐475‐001 </t>
  </si>
  <si>
    <t xml:space="preserve">SPHERICAL RESTING PIN </t>
  </si>
  <si>
    <t xml:space="preserve">SV2‐375‐1000‐001 </t>
  </si>
  <si>
    <t xml:space="preserve">ADJUSTABLE V BODY </t>
  </si>
  <si>
    <t xml:space="preserve">T11-PRY-STD-001 Mirror </t>
  </si>
  <si>
    <t>Tubing Fixture Mirrors (20mm Sq- 45-728 &amp; 25.4x35.4 83-536)</t>
  </si>
  <si>
    <t>T11-PRY-STD-001: Thumb Nut</t>
  </si>
  <si>
    <t>Micro Vice Thumb Nut</t>
  </si>
  <si>
    <t>T11-PRY-STD-002 Tube Fix Base</t>
  </si>
  <si>
    <t>Universal Tube Fixture Base</t>
  </si>
  <si>
    <t>T11-PRY-STD-003 Weight</t>
  </si>
  <si>
    <t>Universal Weight</t>
  </si>
  <si>
    <t>A10-4</t>
  </si>
  <si>
    <t>T11-PRY-STD-006</t>
  </si>
  <si>
    <t>Mirror Cover, Large</t>
  </si>
  <si>
    <t>TC1-PRY-P01-001</t>
  </si>
  <si>
    <t>Aluminum Post for Touch Clamp Assembly TC1-PRY-STD-000</t>
  </si>
  <si>
    <t>TC1-PRY-T01-001</t>
  </si>
  <si>
    <t>Aluminum Body for Touch Clamp Assembly TC1-PRY-STD-000</t>
  </si>
  <si>
    <t>TC2-PRY-STD-002</t>
  </si>
  <si>
    <t>Gold Touch Clamp Collar (Medium Force)</t>
  </si>
  <si>
    <t>Gold Touch Clamp Collar (Medium Force) assembled</t>
  </si>
  <si>
    <t>TC2-PRY-STD-004</t>
  </si>
  <si>
    <t xml:space="preserve">Touch Clamp Barrel </t>
  </si>
  <si>
    <t>TC2-PRY-STD-005</t>
  </si>
  <si>
    <t>Touch Clamp Cap</t>
  </si>
  <si>
    <t>TC2-PRY-STD-006</t>
  </si>
  <si>
    <t>Touch Probe Styli (OutSourced)</t>
  </si>
  <si>
    <t xml:space="preserve">TC2‐PRY‐STD‐001 </t>
  </si>
  <si>
    <t>Green Touch Clamp Collar (Light Force)</t>
  </si>
  <si>
    <t>Green Touch Clamp Collar (Light Force) assembled</t>
  </si>
  <si>
    <t>TC2‐PRY‐STD‐003</t>
  </si>
  <si>
    <t>Red Touch Clamp Collar (Heavy Force)</t>
  </si>
  <si>
    <t>Red Touch Clamp Collar (Heavy Force) assembled</t>
  </si>
  <si>
    <t>TCPAL-125-1420</t>
  </si>
  <si>
    <t>Assembled (3 items)TCTAL-100</t>
  </si>
  <si>
    <t>A9-1</t>
  </si>
  <si>
    <t>TPA-001-STEM</t>
  </si>
  <si>
    <t>D3-9</t>
  </si>
  <si>
    <t>V1-INSERT</t>
  </si>
  <si>
    <t>FIKE</t>
  </si>
  <si>
    <t>D4-7</t>
  </si>
  <si>
    <t>V11-PRY-STD-001</t>
  </si>
  <si>
    <t>Micro  Vice Clamping Jaw</t>
  </si>
  <si>
    <t>B9-1</t>
  </si>
  <si>
    <t>V11-PRY-STD-010</t>
  </si>
  <si>
    <t>Micro Vice Base</t>
  </si>
  <si>
    <t>B9-2</t>
  </si>
  <si>
    <t>V11-PRY-STD-011</t>
  </si>
  <si>
    <t>Micro Vice Screw Guide</t>
  </si>
  <si>
    <t>V11-PRY-STD-012</t>
  </si>
  <si>
    <t>Micro Vice Standard Jaw (45 degree groove)</t>
  </si>
  <si>
    <t>V11-PRY-STD-013</t>
  </si>
  <si>
    <t>V11-PRY-STD-013 Lead Screw</t>
  </si>
  <si>
    <t>V11-PRY-STD-014</t>
  </si>
  <si>
    <t>V11-PRY-STD-014 Knurled Cap</t>
  </si>
  <si>
    <t>V11-PRY-STD-013/014 ASSEMBLED</t>
  </si>
  <si>
    <t>Lead Screw &amp; Knurled Cap Assembly</t>
  </si>
  <si>
    <t>V11‐PRY‐STD‐000</t>
  </si>
  <si>
    <t>MICRO VICE ASSEMBLED</t>
  </si>
  <si>
    <t xml:space="preserve">V41‐PRY‐STD‐001 </t>
  </si>
  <si>
    <t xml:space="preserve">1" SQ MAGNETIC V‐BLOCK </t>
  </si>
  <si>
    <t>C8-2</t>
  </si>
  <si>
    <t>Zeller Insert Template</t>
  </si>
  <si>
    <t>M1-M4 Thread Screws</t>
  </si>
  <si>
    <t>Cabinet A-4</t>
  </si>
  <si>
    <t>M5-M12 Thread Screws</t>
  </si>
  <si>
    <t>Cabinet A-5</t>
  </si>
  <si>
    <t>1/4-20, 2-56/4-40 Thread Screws</t>
  </si>
  <si>
    <t>Cabinet A-6</t>
  </si>
  <si>
    <t>6-32/8-32/10-24/10-32 Thread Screws</t>
  </si>
  <si>
    <t>Cabinet A-7</t>
  </si>
  <si>
    <t>Pins, Bushings, Washers</t>
  </si>
  <si>
    <t>Cabinet A-08</t>
  </si>
  <si>
    <t>Springs, Magnets</t>
  </si>
  <si>
    <t>Cabinet A-09</t>
  </si>
  <si>
    <t>Knobs, Retaining Rings</t>
  </si>
  <si>
    <t>Cabinet A-10</t>
  </si>
  <si>
    <t>Rize Printer Material</t>
  </si>
  <si>
    <t>3/8 OD X 28.5 L Rail</t>
  </si>
  <si>
    <t>Jaw 5/8</t>
  </si>
  <si>
    <t>set screw M4 x 1''</t>
  </si>
  <si>
    <t>3/16 RETAINING RING BLACK COLOR</t>
  </si>
  <si>
    <t>1/32 HEX ALLEN WRENCH</t>
  </si>
  <si>
    <t>M4x10 head screw</t>
  </si>
  <si>
    <t>M3X8</t>
  </si>
  <si>
    <t>Tool Changer Bracket</t>
  </si>
  <si>
    <t>SAVAGE BROS.</t>
  </si>
  <si>
    <t>CNC0758</t>
  </si>
  <si>
    <t>CNC0758-REV E (ROTARY UNION CORE)</t>
  </si>
  <si>
    <t>0708-02-010</t>
  </si>
  <si>
    <t>LTT CHAIN ANCHOR</t>
  </si>
  <si>
    <t>0708-02-011</t>
  </si>
  <si>
    <t xml:space="preserve">LIFTERS B-C Chain Idler Wheel </t>
  </si>
  <si>
    <t>E4-SHELF</t>
  </si>
  <si>
    <t>0100-06-007</t>
  </si>
  <si>
    <t>ELECTRIC BOX MOUNTING STANDOFF</t>
  </si>
  <si>
    <t>0120-03-013</t>
  </si>
  <si>
    <t>Chocolate Melters Trunion Bearing Housing SS</t>
  </si>
  <si>
    <t>0301-01-208</t>
  </si>
  <si>
    <t>0300-02-021</t>
  </si>
  <si>
    <t>AGIGATOR HUB</t>
  </si>
  <si>
    <t>0300-10-006</t>
  </si>
  <si>
    <t>Firemixers Agitator Lock ring - Hub</t>
  </si>
  <si>
    <t xml:space="preserve">                </t>
  </si>
  <si>
    <t>0310-14-025</t>
  </si>
  <si>
    <t>PROBE ENCASEMENT HOLDER</t>
  </si>
  <si>
    <t>0320-12-104</t>
  </si>
  <si>
    <t>MIXING AGITATOR HUB</t>
  </si>
  <si>
    <t>0708-03-030</t>
  </si>
  <si>
    <t>LIFTILTRUCKS SHAFT IDLER TILT/VERSION 3A</t>
  </si>
  <si>
    <t>0712-02-712</t>
  </si>
  <si>
    <t>LIFTERS CYL Stop Tube "C08"</t>
  </si>
  <si>
    <t>0712-04-054</t>
  </si>
  <si>
    <t>LTT GEARBOX LOWER COVER</t>
  </si>
  <si>
    <t>0712-04-056</t>
  </si>
  <si>
    <t>LIFTERS GEAR SHAFT TILT SIDE SS</t>
  </si>
  <si>
    <t>0712-04-057</t>
  </si>
  <si>
    <t xml:space="preserve">LIFTERS SHAFT BUTTON - GEAR BOX </t>
  </si>
  <si>
    <t>0900-01-007</t>
  </si>
  <si>
    <t>3/4" aGITTERO hUB</t>
  </si>
  <si>
    <t>0934-10-001</t>
  </si>
  <si>
    <t>50 LB CHOCALATE MELTER AGITATOR TOP CAP</t>
  </si>
  <si>
    <t>0937-05-001</t>
  </si>
  <si>
    <t>FM-14/FUDGEMAKER PIVOT POST - BOX/IDLER SIDE</t>
  </si>
  <si>
    <t>0937-05-002</t>
  </si>
  <si>
    <t>FM 14 / FUDGE MAKER PIVOT POST-TILT SIDE</t>
  </si>
  <si>
    <t>0937-05-005   /    0937-30-103</t>
  </si>
  <si>
    <t>FM 14 / FUDGE MAKER CENTER TUBE</t>
  </si>
  <si>
    <t>0937-50-006</t>
  </si>
  <si>
    <t>chocolate melters R&amp;D agitator top FM-14</t>
  </si>
  <si>
    <t>0937-50-107</t>
  </si>
  <si>
    <t>chocolate melters fudgemaker motor mount plate</t>
  </si>
  <si>
    <t>0974-10-060</t>
  </si>
  <si>
    <t>Chocolate Melters 750#/1250# easy to remove Agitator Adaptor SS</t>
  </si>
  <si>
    <t>0974-10-061</t>
  </si>
  <si>
    <t>Chocolate Melters1250# easy to remove Square Drive Hub SS</t>
  </si>
  <si>
    <t>1100-14-008</t>
  </si>
  <si>
    <t>COOKERS SENSOR PROVE TIP HOLDER</t>
  </si>
  <si>
    <t>1100-14-106</t>
  </si>
  <si>
    <t>GENERAL PARTS PROBE END COUPLING 1/2 NPT MACHINED</t>
  </si>
  <si>
    <t>D3- SHELF</t>
  </si>
  <si>
    <t>1300-09-043</t>
  </si>
  <si>
    <t>TRANSFER&amp;METERING PUMP FLOW DISTRIBUTOR HEATER HOUSING</t>
  </si>
  <si>
    <t>1360-12-119</t>
  </si>
  <si>
    <t>SERVO PUMP ERD20 PUMP ADAPTER</t>
  </si>
  <si>
    <t>1381-09-005</t>
  </si>
  <si>
    <t>PUMPS AIR PRODUCT BLOCK</t>
  </si>
  <si>
    <t>1381-09-016</t>
  </si>
  <si>
    <t>U CUP WASHER</t>
  </si>
  <si>
    <t>1600-01-003</t>
  </si>
  <si>
    <t>1801-07-152</t>
  </si>
  <si>
    <t>TEMP PROBE HOLDER MOUNT HUB</t>
  </si>
  <si>
    <t>2400-05-010</t>
  </si>
  <si>
    <t>FM-14 Temp Probe Mount Base SS</t>
  </si>
  <si>
    <t>2400-05-012</t>
  </si>
  <si>
    <t>FM-14 TEMP Probe Mount, HOLDER</t>
  </si>
  <si>
    <t>2400-07-201</t>
  </si>
  <si>
    <t>FM-14 Motor Mount Center Tube SS</t>
  </si>
  <si>
    <t>9200-00-701</t>
  </si>
  <si>
    <t>COOLING TABLE LEG INSERT</t>
  </si>
  <si>
    <t xml:space="preserve">                               </t>
  </si>
  <si>
    <t>9200-00-703</t>
  </si>
  <si>
    <t>CHOCOLET MELTERS LEG INSERT- 3/8"-16</t>
  </si>
  <si>
    <t>9200-70-102</t>
  </si>
  <si>
    <t>VIBRATING TABLE CUSHION SPRING RETAINER</t>
  </si>
  <si>
    <t>9300-80-016</t>
  </si>
  <si>
    <t>ENROBER 1.5 I-LINE INSERT-SENSOR MOUNT TEFLON</t>
  </si>
  <si>
    <t>9300-80-024</t>
  </si>
  <si>
    <t>D sensor insert  -blank teflon 1.525 lg</t>
  </si>
  <si>
    <t>on the shop</t>
  </si>
  <si>
    <t>9300-81-026</t>
  </si>
  <si>
    <t>Metering Pump End Cap Male</t>
  </si>
  <si>
    <t xml:space="preserve"> D3-SHELF</t>
  </si>
  <si>
    <r>
      <rPr>
        <rFont val="Arial"/>
        <color rgb="FF000000"/>
        <sz val="9.0"/>
      </rPr>
      <t>9300-8</t>
    </r>
    <r>
      <rPr>
        <rFont val="Arial"/>
        <color rgb="FF000000"/>
        <sz val="9.0"/>
      </rPr>
      <t>1-038</t>
    </r>
  </si>
  <si>
    <t>PUMPS HEATED HOSES OUTPUT FERRULE 1-1/2"ILINE TO 1/2" FPT W/SIDE AIR VALVE</t>
  </si>
  <si>
    <t>E-5 SHELF</t>
  </si>
  <si>
    <t>9300-81-039</t>
  </si>
  <si>
    <t>CHOCOLATE MELTERS 1.5'' I-LINE CHECK VALVE CAP MALE AL</t>
  </si>
  <si>
    <t>9800-20-015</t>
  </si>
  <si>
    <t>Hydraulic Cylinder Tube Nut</t>
  </si>
  <si>
    <t>9800-20-016</t>
  </si>
  <si>
    <t>HYDRALIC CYLINDER ROD BUSHING</t>
  </si>
  <si>
    <t>9800-20-017</t>
  </si>
  <si>
    <t>HYDRALIC CYLINDER SUPPORT BLOCK</t>
  </si>
  <si>
    <t>9800-20-005</t>
  </si>
  <si>
    <t>Lifters Hydraulic Cylinder Tube LTT C+</t>
  </si>
  <si>
    <t>Floor</t>
  </si>
  <si>
    <t>9800-20-020</t>
  </si>
  <si>
    <t>Hydraulic cylinder piston sleeve</t>
  </si>
  <si>
    <t>9800-20-025</t>
  </si>
  <si>
    <t>LIFTILTRUKS CYLINDER STOP B - 10-0'' LG</t>
  </si>
  <si>
    <t>9800-20-030</t>
  </si>
  <si>
    <t>STOP TUBE -CYL S-92-02</t>
  </si>
  <si>
    <t>D5-shelf</t>
  </si>
  <si>
    <t>9800-20-033</t>
  </si>
  <si>
    <t>FIREMIXER 16-20 HYD CYL BLIND END</t>
  </si>
  <si>
    <t>9800-20-045</t>
  </si>
  <si>
    <t>Hydraulic Cyl Tube - LTT B</t>
  </si>
  <si>
    <t>Under Saw</t>
  </si>
  <si>
    <t>9900-40-120</t>
  </si>
  <si>
    <t>pumps vented product cylinder striker</t>
  </si>
  <si>
    <t xml:space="preserve">                      </t>
  </si>
  <si>
    <t xml:space="preserve">            </t>
  </si>
  <si>
    <t>Part Description</t>
  </si>
  <si>
    <t>Thread Size</t>
  </si>
  <si>
    <t>Ø Sphere (DK)</t>
  </si>
  <si>
    <t>Length (L)</t>
  </si>
  <si>
    <t>ML / EWL</t>
  </si>
  <si>
    <t>Tip Material</t>
  </si>
  <si>
    <t>Shaft Material</t>
  </si>
  <si>
    <t>Probe Type</t>
  </si>
  <si>
    <t>In-Stock Quantity</t>
  </si>
  <si>
    <t>Supplier</t>
  </si>
  <si>
    <t>Link to Part</t>
  </si>
  <si>
    <t>620161-8274-000</t>
  </si>
  <si>
    <t>TL3 XXT Adaptor Plate</t>
  </si>
  <si>
    <t>M3</t>
  </si>
  <si>
    <t>Zeiss</t>
  </si>
  <si>
    <t>Lab 1-5</t>
  </si>
  <si>
    <t>https://shop.metrology.zeiss.com/INTERSHOP/web/WFS/IMT-US-Site/en_US/-/USD/ViewProduct-Start?SKU=620161-8274-000&amp;ExtendedNavigation=true</t>
  </si>
  <si>
    <t>626103-0300-050</t>
  </si>
  <si>
    <t>M3 3x50mm</t>
  </si>
  <si>
    <t>Ruby</t>
  </si>
  <si>
    <t>Carbon Fiber</t>
  </si>
  <si>
    <t>Ball</t>
  </si>
  <si>
    <t>Zeiss Container</t>
  </si>
  <si>
    <t>https://shop.metrology.zeiss.com/INTERSHOP/web/WFS/IMT-US-Site/en_US/-/USD/ViewProduct-Start?SKU=626103-0300-050&amp;ExtendedNavigation=true</t>
  </si>
  <si>
    <t>626113-0051-024</t>
  </si>
  <si>
    <t>M3 0.5x24mm</t>
  </si>
  <si>
    <t>Tungsten Carbide</t>
  </si>
  <si>
    <t>Lab 1-1</t>
  </si>
  <si>
    <t>https://shop.metrology.zeiss.com/INTERSHOP/web/WFS/IMT-US-Site/en_US/-/USD/ViewProduct-Start?SKU=626113-0051-024&amp;ExtendedNavigation=true</t>
  </si>
  <si>
    <t>626113-0150-030</t>
  </si>
  <si>
    <t>M3 1.5x30mm</t>
  </si>
  <si>
    <t>https://shop.metrology.zeiss.com/INTERSHOP/web/WFS/IMT-US-Site/en_US/-/USD/ViewProduct-Start?SKU=626113-0150-030</t>
  </si>
  <si>
    <t xml:space="preserve">A-5000-7805 </t>
  </si>
  <si>
    <t>M2 0.5x10mm</t>
  </si>
  <si>
    <t>M2</t>
  </si>
  <si>
    <t>Renishaw</t>
  </si>
  <si>
    <t>https://www.renishaw.com/shop/Product.aspx?Product=A-5000-7805</t>
  </si>
  <si>
    <t>A-5000-7812</t>
  </si>
  <si>
    <t>M2 2x20mm Cylinder</t>
  </si>
  <si>
    <t>Stainless Steel</t>
  </si>
  <si>
    <t>Cylinder</t>
  </si>
  <si>
    <t>https://www.renishaw.com/shop/Product.aspx?Product=A-5000-7812</t>
  </si>
  <si>
    <t>A-5000-8877</t>
  </si>
  <si>
    <t>M2 1.5x25mm Cylinder</t>
  </si>
  <si>
    <t>https://www.renishaw.com/shop/Product.aspx?Product=A-5000-8877</t>
  </si>
  <si>
    <t>A-5003-0033</t>
  </si>
  <si>
    <t>M2 1x20mm</t>
  </si>
  <si>
    <t>https://www.renishaw.com/shop/Product.aspx?Product=A-5003-0033</t>
  </si>
  <si>
    <t>A-5003-0035</t>
  </si>
  <si>
    <t>M2 1.5x30mm</t>
  </si>
  <si>
    <t>https://www.renishaw.com/shop/Product.aspx?Product=A-5003-0035</t>
  </si>
  <si>
    <t>A-5003-0040</t>
  </si>
  <si>
    <t>M3 3x30mm</t>
  </si>
  <si>
    <t>https://www.renishaw.com/shop/Product.aspx?Product=A-5003-0040</t>
  </si>
  <si>
    <t>A-5003-0577</t>
  </si>
  <si>
    <t>M2 0.7x20mm</t>
  </si>
  <si>
    <t>https://www.renishaw.com/shop/Product.aspx?Product=A-5003-0577&amp;lang=en</t>
  </si>
  <si>
    <t>A-5003-1210</t>
  </si>
  <si>
    <t>M2 0.5x15mm</t>
  </si>
  <si>
    <t>https://www.renishaw.com/shop/Product.aspx?Product=A-5003-1210&amp;lang=en</t>
  </si>
  <si>
    <t>A-5003-1218</t>
  </si>
  <si>
    <t>M2 1x35mm</t>
  </si>
  <si>
    <t>https://www.renishaw.com/shop/Product.aspx?Product=A-5003-1218&amp;lang=en</t>
  </si>
  <si>
    <t>A-5004-3430</t>
  </si>
  <si>
    <t>M3 30mm CF Extension</t>
  </si>
  <si>
    <t>https://www.renishaw.com/shop/Product.aspx?Product=A-5004-3430&amp;lang=en</t>
  </si>
  <si>
    <t>A-5555-1239</t>
  </si>
  <si>
    <t>https://www.renishaw.com/shop/Product.aspx?Product=A-5555-1239&amp;lang=en</t>
  </si>
  <si>
    <t>A-5555-3892</t>
  </si>
  <si>
    <t>M3 20mm CF Extension</t>
  </si>
  <si>
    <t>https://www.renishaw.com/shop/Product.aspx?Product=A-5555-3892&amp;lang=en</t>
  </si>
  <si>
    <t>A-5555-9341</t>
  </si>
  <si>
    <t>M3 1x40mm</t>
  </si>
  <si>
    <t>31/5</t>
  </si>
  <si>
    <t>https://www.renishaw.com/shop/Product.aspx?Product=A-5555-9341&amp;lang=en</t>
  </si>
  <si>
    <t>RM2-M3</t>
  </si>
  <si>
    <t>M3 to M2 Converter</t>
  </si>
  <si>
    <t>M3/M2</t>
  </si>
  <si>
    <t>Converter</t>
  </si>
  <si>
    <t>Q-Mark</t>
  </si>
  <si>
    <t>https://cmms.com/products/rm3-m2</t>
  </si>
  <si>
    <t>RM3-M2</t>
  </si>
  <si>
    <t>M2 to M3 Converter</t>
  </si>
  <si>
    <t>M2/M3</t>
  </si>
  <si>
    <t>https://cmms.com/products/rm2-m3</t>
  </si>
  <si>
    <t>TM2-1010.5-S</t>
  </si>
  <si>
    <t>M2 1x10mm</t>
  </si>
  <si>
    <t>https://cmms.com/products/tm2-1010-5-s?_pos=1&amp;_sid=bcf9e84f8&amp;_ss=r</t>
  </si>
  <si>
    <t>TM2-1020-DS.7</t>
  </si>
  <si>
    <t>https://cmms.com/products/tm2-1020-ds-7</t>
  </si>
  <si>
    <t>TM3-0625-SN</t>
  </si>
  <si>
    <t>M3 0.6x25mm</t>
  </si>
  <si>
    <t>https://cmms.com/products/tm3-0625-sn?_pos=1&amp;_sid=dae0e9827&amp;_ss=r</t>
  </si>
  <si>
    <t>TM3-1020-5-DS-7</t>
  </si>
  <si>
    <t>M3 1x20mm</t>
  </si>
  <si>
    <t>https://cmms.com/products/tm3-1020-5-ds-7</t>
  </si>
  <si>
    <t>TM3-1020.5-DS.7</t>
  </si>
  <si>
    <t>M3 1x20.5mm</t>
  </si>
  <si>
    <t>TM3-2041</t>
  </si>
  <si>
    <t>M2 2x40mm</t>
  </si>
  <si>
    <t>https://cmms.com/products/tm3-2041?_pos=1&amp;_sid=b1602703b&amp;_ss=r</t>
  </si>
  <si>
    <t>TM3-3050-TX</t>
  </si>
  <si>
    <t>https://cmms.com/products/tm3-3050-tx?_pos=2&amp;_sid=43cfcb446&amp;_ss=r</t>
  </si>
  <si>
    <t>VM3-35</t>
  </si>
  <si>
    <t>M3 35mm SS Extension</t>
  </si>
  <si>
    <t>https://cmms.com/products/vm3-35?_pos=1&amp;_sid=82cdce164&amp;_ss=r</t>
  </si>
  <si>
    <t>VM3-50-TX</t>
  </si>
  <si>
    <t>M3 50mm CF Extension</t>
  </si>
  <si>
    <t>https://cmms.com/products/vm3-50-tx?_pos=1&amp;_sid=e5c705184&amp;_ss=r</t>
  </si>
  <si>
    <t>XXT-AP-ID3</t>
  </si>
  <si>
    <t>https://cmms.com/products/xxt-ap-id3?_pos=1&amp;_sid=01964a626&amp;_ss=r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</si>
</sst>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MM/dd/yyyy"/>
    <numFmt numFmtId="166" formatCode="mm-dd-yyyy"/>
    <numFmt numFmtId="167" formatCode="mm/dd/yyyy"/>
    <numFmt numFmtId="168" formatCode="m/d/yy"/>
    <numFmt numFmtId="169" formatCode="m-d-yyyy"/>
  </numFmts>
  <fonts count="21">
    <font>
      <sz val="10.0"/>
      <color rgb="FF000000"/>
      <name val="Arial"/>
    </font>
    <font>
      <b/>
      <sz val="12.0"/>
    </font>
    <font/>
    <font>
      <color rgb="FF000000"/>
      <name val="Arial"/>
    </font>
    <font>
      <b/>
    </font>
    <font>
      <sz val="10.0"/>
    </font>
    <font>
      <b/>
      <sz val="10.0"/>
    </font>
    <font>
      <sz val="8.0"/>
    </font>
    <font>
      <sz val="9.0"/>
    </font>
    <font>
      <sz val="9.0"/>
      <color rgb="FF333333"/>
      <name val="Arial"/>
    </font>
    <font>
      <sz val="9.0"/>
      <color rgb="FF090909"/>
      <name val="Arial"/>
    </font>
    <font>
      <sz val="9.0"/>
      <color rgb="FF000000"/>
      <name val="Arial"/>
    </font>
    <font>
      <color rgb="FF000000"/>
    </font>
    <font>
      <sz val="10.0"/>
      <color rgb="FF000000"/>
    </font>
    <font>
      <name val="Arial"/>
    </font>
    <font>
      <sz val="14.0"/>
      <color rgb="FFFFFFFF"/>
    </font>
    <font>
      <sz val="6.0"/>
    </font>
    <font>
      <sz val="5.0"/>
    </font>
    <font>
      <u/>
      <color rgb="FF0000FF"/>
    </font>
    <font>
      <u/>
      <color rgb="FF0000FF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8E7CC3"/>
        <bgColor rgb="FF8E7CC3"/>
      </patternFill>
    </fill>
    <fill>
      <patternFill patternType="solid">
        <fgColor rgb="FF0000FF"/>
        <bgColor rgb="FF0000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wrapText="1"/>
    </xf>
    <xf borderId="1" fillId="3" fontId="1" numFmtId="0" xfId="0" applyAlignment="1" applyBorder="1" applyFill="1" applyFont="1">
      <alignment readingOrder="0" shrinkToFit="0" wrapText="1"/>
    </xf>
    <xf borderId="1" fillId="3" fontId="1" numFmtId="0" xfId="0" applyAlignment="1" applyBorder="1" applyFont="1">
      <alignment horizontal="center" readingOrder="0" shrinkToFit="0" vertical="bottom" wrapText="1"/>
    </xf>
    <xf borderId="1" fillId="3" fontId="1" numFmtId="0" xfId="0" applyAlignment="1" applyBorder="1" applyFont="1">
      <alignment horizontal="center" readingOrder="0" shrinkToFit="0" vertical="bottom" wrapText="1"/>
    </xf>
    <xf borderId="0" fillId="4" fontId="1" numFmtId="0" xfId="0" applyAlignment="1" applyFill="1" applyFont="1">
      <alignment horizontal="center" readingOrder="0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1" fillId="0" fontId="2" numFmtId="0" xfId="0" applyAlignment="1" applyBorder="1" applyFont="1">
      <alignment horizontal="left" readingOrder="0" shrinkToFit="0" vertical="bottom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shrinkToFit="0" vertical="bottom" wrapText="1"/>
    </xf>
    <xf borderId="1" fillId="2" fontId="3" numFmtId="164" xfId="0" applyAlignment="1" applyBorder="1" applyFont="1" applyNumberFormat="1">
      <alignment horizontal="right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164" xfId="0" applyAlignment="1" applyFont="1" applyNumberFormat="1">
      <alignment readingOrder="0" shrinkToFit="0" wrapText="1"/>
    </xf>
    <xf borderId="1" fillId="0" fontId="2" numFmtId="164" xfId="0" applyAlignment="1" applyBorder="1" applyFont="1" applyNumberFormat="1">
      <alignment readingOrder="0" shrinkToFit="0" wrapText="1"/>
    </xf>
    <xf borderId="0" fillId="0" fontId="4" numFmtId="0" xfId="0" applyAlignment="1" applyFont="1">
      <alignment readingOrder="0" shrinkToFit="0" wrapText="1"/>
    </xf>
    <xf borderId="1" fillId="0" fontId="2" numFmtId="0" xfId="0" applyAlignment="1" applyBorder="1" applyFont="1">
      <alignment horizontal="left" readingOrder="0" shrinkToFit="0" vertical="bottom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left" readingOrder="0" shrinkToFit="0" vertical="bottom" wrapText="1"/>
    </xf>
    <xf borderId="1" fillId="2" fontId="3" numFmtId="165" xfId="0" applyAlignment="1" applyBorder="1" applyFont="1" applyNumberFormat="1">
      <alignment horizontal="right" readingOrder="0" shrinkToFit="0" wrapText="1"/>
    </xf>
    <xf borderId="1" fillId="0" fontId="5" numFmtId="0" xfId="0" applyAlignment="1" applyBorder="1" applyFont="1">
      <alignment horizontal="left" readingOrder="0" shrinkToFit="0" vertical="bottom" wrapText="1"/>
    </xf>
    <xf borderId="1" fillId="0" fontId="2" numFmtId="14" xfId="0" applyAlignment="1" applyBorder="1" applyFont="1" applyNumberFormat="1">
      <alignment readingOrder="0" shrinkToFit="0" wrapText="1"/>
    </xf>
    <xf borderId="1" fillId="0" fontId="5" numFmtId="0" xfId="0" applyAlignment="1" applyBorder="1" applyFont="1">
      <alignment horizontal="left" readingOrder="0" shrinkToFit="0" vertical="bottom" wrapText="1"/>
    </xf>
    <xf borderId="1" fillId="0" fontId="2" numFmtId="0" xfId="0" applyAlignment="1" applyBorder="1" applyFont="1">
      <alignment shrinkToFit="0" wrapText="1"/>
    </xf>
    <xf borderId="0" fillId="2" fontId="2" numFmtId="0" xfId="0" applyAlignment="1" applyFont="1">
      <alignment horizontal="left" readingOrder="0" shrinkToFit="0" vertical="bottom" wrapText="1"/>
    </xf>
    <xf borderId="1" fillId="0" fontId="4" numFmtId="0" xfId="0" applyAlignment="1" applyBorder="1" applyFont="1">
      <alignment horizontal="left" readingOrder="0" shrinkToFit="0" vertical="bottom" wrapText="1"/>
    </xf>
    <xf borderId="1" fillId="0" fontId="2" numFmtId="0" xfId="0" applyAlignment="1" applyBorder="1" applyFont="1">
      <alignment horizontal="left" readingOrder="0" shrinkToFit="0" wrapText="1"/>
    </xf>
    <xf borderId="1" fillId="0" fontId="2" numFmtId="166" xfId="0" applyAlignment="1" applyBorder="1" applyFont="1" applyNumberFormat="1">
      <alignment readingOrder="0" shrinkToFit="0" wrapText="1"/>
    </xf>
    <xf borderId="1" fillId="0" fontId="2" numFmtId="167" xfId="0" applyAlignment="1" applyBorder="1" applyFont="1" applyNumberForma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1" fillId="0" fontId="2" numFmtId="165" xfId="0" applyAlignment="1" applyBorder="1" applyFont="1" applyNumberForma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horizontal="center" readingOrder="0" shrinkToFit="0" vertical="bottom" wrapText="1"/>
    </xf>
    <xf borderId="2" fillId="0" fontId="2" numFmtId="14" xfId="0" applyAlignment="1" applyBorder="1" applyFont="1" applyNumberFormat="1">
      <alignment readingOrder="0" shrinkToFit="0" wrapText="1"/>
    </xf>
    <xf borderId="0" fillId="2" fontId="5" numFmtId="0" xfId="0" applyAlignment="1" applyFont="1">
      <alignment horizontal="left" readingOrder="0" shrinkToFit="0" vertical="bottom" wrapText="1"/>
    </xf>
    <xf borderId="0" fillId="2" fontId="5" numFmtId="0" xfId="0" applyAlignment="1" applyFont="1">
      <alignment horizontal="left" readingOrder="0" shrinkToFit="0" vertical="bottom" wrapText="1"/>
    </xf>
    <xf borderId="1" fillId="0" fontId="5" numFmtId="0" xfId="0" applyAlignment="1" applyBorder="1" applyFont="1">
      <alignment horizontal="center" readingOrder="0" shrinkToFit="0" vertical="bottom" wrapText="1"/>
    </xf>
    <xf borderId="1" fillId="0" fontId="5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shrinkToFit="0" vertical="bottom" wrapText="1"/>
    </xf>
    <xf borderId="1" fillId="2" fontId="2" numFmtId="0" xfId="0" applyAlignment="1" applyBorder="1" applyFont="1">
      <alignment horizontal="center" readingOrder="0" shrinkToFit="0" vertical="bottom" wrapText="1"/>
    </xf>
    <xf borderId="0" fillId="2" fontId="5" numFmtId="0" xfId="0" applyAlignment="1" applyFont="1">
      <alignment readingOrder="0" shrinkToFit="0" wrapText="1"/>
    </xf>
    <xf borderId="1" fillId="2" fontId="0" numFmtId="165" xfId="0" applyAlignment="1" applyBorder="1" applyFont="1" applyNumberFormat="1">
      <alignment horizontal="right" readingOrder="0" shrinkToFit="0" wrapText="1"/>
    </xf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1" fillId="0" fontId="3" numFmtId="0" xfId="0" applyAlignment="1" applyBorder="1" applyFont="1">
      <alignment horizontal="left" readingOrder="0" shrinkToFit="0" wrapText="1"/>
    </xf>
    <xf quotePrefix="1" borderId="1" fillId="0" fontId="2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horizontal="center" readingOrder="0" shrinkToFit="0" wrapText="1"/>
    </xf>
    <xf borderId="1" fillId="2" fontId="2" numFmtId="0" xfId="0" applyAlignment="1" applyBorder="1" applyFont="1">
      <alignment shrinkToFit="0" wrapText="1"/>
    </xf>
    <xf borderId="1" fillId="0" fontId="8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readingOrder="0" shrinkToFit="0" wrapText="1"/>
    </xf>
    <xf borderId="1" fillId="2" fontId="0" numFmtId="14" xfId="0" applyAlignment="1" applyBorder="1" applyFont="1" applyNumberFormat="1">
      <alignment horizontal="right" readingOrder="0" shrinkToFit="0" wrapText="1"/>
    </xf>
    <xf borderId="1" fillId="2" fontId="2" numFmtId="49" xfId="0" applyAlignment="1" applyBorder="1" applyFont="1" applyNumberFormat="1">
      <alignment horizontal="center" readingOrder="0" shrinkToFit="0" vertical="bottom" wrapText="1"/>
    </xf>
    <xf borderId="1" fillId="5" fontId="2" numFmtId="0" xfId="0" applyAlignment="1" applyBorder="1" applyFill="1" applyFont="1">
      <alignment horizontal="center" readingOrder="0" shrinkToFit="0" vertical="bottom" wrapText="1"/>
    </xf>
    <xf borderId="1" fillId="0" fontId="10" numFmtId="0" xfId="0" applyAlignment="1" applyBorder="1" applyFont="1">
      <alignment horizontal="left" readingOrder="0" shrinkToFit="0" wrapText="1"/>
    </xf>
    <xf borderId="1" fillId="6" fontId="2" numFmtId="0" xfId="0" applyAlignment="1" applyBorder="1" applyFill="1" applyFont="1">
      <alignment readingOrder="0" shrinkToFit="0" wrapText="1"/>
    </xf>
    <xf borderId="1" fillId="2" fontId="3" numFmtId="14" xfId="0" applyAlignment="1" applyBorder="1" applyFont="1" applyNumberFormat="1">
      <alignment horizontal="right" readingOrder="0" shrinkToFit="0" wrapText="1"/>
    </xf>
    <xf borderId="1" fillId="7" fontId="2" numFmtId="0" xfId="0" applyAlignment="1" applyBorder="1" applyFill="1" applyFont="1">
      <alignment readingOrder="0" shrinkToFit="0" wrapText="1"/>
    </xf>
    <xf borderId="1" fillId="7" fontId="3" numFmtId="0" xfId="0" applyAlignment="1" applyBorder="1" applyFont="1">
      <alignment horizontal="left" readingOrder="0" shrinkToFit="0" wrapText="1"/>
    </xf>
    <xf borderId="1" fillId="4" fontId="2" numFmtId="0" xfId="0" applyAlignment="1" applyBorder="1" applyFont="1">
      <alignment readingOrder="0" shrinkToFit="0" wrapText="1"/>
    </xf>
    <xf borderId="1" fillId="0" fontId="2" numFmtId="49" xfId="0" applyAlignment="1" applyBorder="1" applyFont="1" applyNumberFormat="1">
      <alignment horizontal="center" readingOrder="0" shrinkToFit="0" vertical="bottom" wrapText="1"/>
    </xf>
    <xf borderId="1" fillId="2" fontId="3" numFmtId="0" xfId="0" applyAlignment="1" applyBorder="1" applyFont="1">
      <alignment horizontal="left" readingOrder="0" shrinkToFit="0" wrapText="1"/>
    </xf>
    <xf borderId="1" fillId="2" fontId="3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bottom" wrapText="1"/>
    </xf>
    <xf borderId="1" fillId="0" fontId="11" numFmtId="0" xfId="0" applyAlignment="1" applyBorder="1" applyFont="1">
      <alignment horizontal="left" readingOrder="0" shrinkToFit="0" wrapText="1"/>
    </xf>
    <xf borderId="4" fillId="0" fontId="2" numFmtId="0" xfId="0" applyAlignment="1" applyBorder="1" applyFont="1">
      <alignment horizontal="left" readingOrder="0" shrinkToFit="0" vertical="bottom" wrapText="1"/>
    </xf>
    <xf borderId="4" fillId="0" fontId="2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horizontal="left" readingOrder="0" shrinkToFit="0" wrapText="1"/>
    </xf>
    <xf borderId="4" fillId="0" fontId="2" numFmtId="0" xfId="0" applyAlignment="1" applyBorder="1" applyFont="1">
      <alignment readingOrder="0" shrinkToFit="0" wrapText="1"/>
    </xf>
    <xf borderId="0" fillId="2" fontId="2" numFmtId="0" xfId="0" applyAlignment="1" applyFont="1">
      <alignment horizontal="center" readingOrder="0" shrinkToFit="0" vertical="bottom" wrapText="1"/>
    </xf>
    <xf borderId="1" fillId="0" fontId="2" numFmtId="168" xfId="0" applyAlignment="1" applyBorder="1" applyFont="1" applyNumberFormat="1">
      <alignment readingOrder="0" shrinkToFit="0" wrapText="1"/>
    </xf>
    <xf borderId="0" fillId="0" fontId="10" numFmtId="0" xfId="0" applyAlignment="1" applyFont="1">
      <alignment horizontal="left" readingOrder="0" shrinkToFit="0" wrapText="1"/>
    </xf>
    <xf borderId="1" fillId="2" fontId="2" numFmtId="14" xfId="0" applyAlignment="1" applyBorder="1" applyFont="1" applyNumberFormat="1">
      <alignment readingOrder="0" shrinkToFit="0" wrapText="1"/>
    </xf>
    <xf borderId="1" fillId="2" fontId="2" numFmtId="165" xfId="0" applyAlignment="1" applyBorder="1" applyFont="1" applyNumberFormat="1">
      <alignment readingOrder="0" shrinkToFit="0" wrapText="1"/>
    </xf>
    <xf borderId="5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left" readingOrder="0" shrinkToFit="0" vertical="bottom" wrapText="1"/>
    </xf>
    <xf borderId="1" fillId="2" fontId="12" numFmtId="0" xfId="0" applyAlignment="1" applyBorder="1" applyFont="1">
      <alignment horizontal="center" readingOrder="0" shrinkToFit="0" vertical="bottom" wrapText="1"/>
    </xf>
    <xf borderId="1" fillId="0" fontId="12" numFmtId="0" xfId="0" applyAlignment="1" applyBorder="1" applyFont="1">
      <alignment horizontal="center" readingOrder="0" shrinkToFit="0" vertical="bottom" wrapText="1"/>
    </xf>
    <xf borderId="1" fillId="5" fontId="12" numFmtId="0" xfId="0" applyAlignment="1" applyBorder="1" applyFont="1">
      <alignment horizontal="center" readingOrder="0" shrinkToFit="0" vertical="bottom" wrapText="1"/>
    </xf>
    <xf borderId="1" fillId="0" fontId="2" numFmtId="3" xfId="0" applyAlignment="1" applyBorder="1" applyFont="1" applyNumberFormat="1">
      <alignment horizontal="center" readingOrder="0" shrinkToFit="0" vertical="bottom" wrapText="1"/>
    </xf>
    <xf borderId="1" fillId="0" fontId="2" numFmtId="164" xfId="0" applyAlignment="1" applyBorder="1" applyFont="1" applyNumberFormat="1">
      <alignment horizontal="center" readingOrder="0" shrinkToFit="0" vertical="bottom" wrapText="1"/>
    </xf>
    <xf borderId="6" fillId="0" fontId="2" numFmtId="0" xfId="0" applyAlignment="1" applyBorder="1" applyFont="1">
      <alignment readingOrder="0" shrinkToFit="0" wrapText="1"/>
    </xf>
    <xf borderId="7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6" fillId="0" fontId="2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horizontal="center" readingOrder="0" shrinkToFit="0" vertical="bottom" wrapText="1"/>
    </xf>
    <xf borderId="6" fillId="0" fontId="13" numFmtId="0" xfId="0" applyAlignment="1" applyBorder="1" applyFont="1">
      <alignment readingOrder="0" shrinkToFit="0" wrapText="1"/>
    </xf>
    <xf borderId="6" fillId="0" fontId="13" numFmtId="0" xfId="0" applyAlignment="1" applyBorder="1" applyFont="1">
      <alignment readingOrder="0" shrinkToFit="0" wrapText="1"/>
    </xf>
    <xf borderId="5" fillId="0" fontId="1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horizontal="left" readingOrder="0" shrinkToFit="0" wrapText="1"/>
    </xf>
    <xf borderId="0" fillId="2" fontId="14" numFmtId="0" xfId="0" applyAlignment="1" applyFont="1">
      <alignment shrinkToFit="0" vertical="bottom" wrapText="1"/>
    </xf>
    <xf borderId="4" fillId="0" fontId="14" numFmtId="0" xfId="0" applyAlignment="1" applyBorder="1" applyFont="1">
      <alignment shrinkToFit="0" vertical="bottom" wrapText="1"/>
    </xf>
    <xf borderId="1" fillId="0" fontId="14" numFmtId="0" xfId="0" applyAlignment="1" applyBorder="1" applyFont="1">
      <alignment readingOrder="0" shrinkToFit="0" vertical="bottom" wrapText="1"/>
    </xf>
    <xf borderId="1" fillId="0" fontId="14" numFmtId="0" xfId="0" applyAlignment="1" applyBorder="1" applyFont="1">
      <alignment horizontal="center" shrinkToFit="0" vertical="bottom" wrapText="1"/>
    </xf>
    <xf borderId="1" fillId="0" fontId="14" numFmtId="0" xfId="0" applyAlignment="1" applyBorder="1" applyFont="1">
      <alignment horizontal="center" readingOrder="0" shrinkToFit="0" vertical="bottom" wrapText="1"/>
    </xf>
    <xf borderId="1" fillId="0" fontId="14" numFmtId="165" xfId="0" applyAlignment="1" applyBorder="1" applyFont="1" applyNumberFormat="1">
      <alignment horizontal="center" shrinkToFit="0" vertical="bottom" wrapText="1"/>
    </xf>
    <xf borderId="1" fillId="0" fontId="14" numFmtId="165" xfId="0" applyAlignment="1" applyBorder="1" applyFont="1" applyNumberFormat="1">
      <alignment horizontal="right" readingOrder="0" shrinkToFit="0" vertical="bottom" wrapText="1"/>
    </xf>
    <xf borderId="0" fillId="0" fontId="14" numFmtId="0" xfId="0" applyAlignment="1" applyFont="1">
      <alignment shrinkToFit="0" vertical="bottom" wrapText="1"/>
    </xf>
    <xf borderId="0" fillId="2" fontId="13" numFmtId="0" xfId="0" applyAlignment="1" applyFont="1">
      <alignment readingOrder="0" shrinkToFit="0" wrapText="1"/>
    </xf>
    <xf borderId="0" fillId="2" fontId="7" numFmtId="0" xfId="0" applyAlignment="1" applyFont="1">
      <alignment readingOrder="0" shrinkToFit="0" wrapText="1"/>
    </xf>
    <xf borderId="0" fillId="2" fontId="2" numFmtId="0" xfId="0" applyAlignment="1" applyFont="1">
      <alignment shrinkToFit="0" wrapText="1"/>
    </xf>
    <xf borderId="5" fillId="0" fontId="2" numFmtId="0" xfId="0" applyAlignment="1" applyBorder="1" applyFont="1">
      <alignment shrinkToFit="0" wrapText="1"/>
    </xf>
    <xf borderId="8" fillId="8" fontId="15" numFmtId="0" xfId="0" applyAlignment="1" applyBorder="1" applyFill="1" applyFont="1">
      <alignment horizontal="center" readingOrder="0" shrinkToFit="0" wrapText="1"/>
    </xf>
    <xf borderId="9" fillId="0" fontId="2" numFmtId="0" xfId="0" applyAlignment="1" applyBorder="1" applyFont="1">
      <alignment shrinkToFit="0" wrapText="1"/>
    </xf>
    <xf borderId="10" fillId="0" fontId="2" numFmtId="0" xfId="0" applyAlignment="1" applyBorder="1" applyFont="1">
      <alignment shrinkToFit="0" wrapText="1"/>
    </xf>
    <xf borderId="1" fillId="0" fontId="2" numFmtId="169" xfId="0" applyAlignment="1" applyBorder="1" applyFont="1" applyNumberFormat="1">
      <alignment readingOrder="0" shrinkToFit="0" wrapText="1"/>
    </xf>
    <xf borderId="1" fillId="0" fontId="16" numFmtId="0" xfId="0" applyAlignment="1" applyBorder="1" applyFont="1">
      <alignment readingOrder="0" shrinkToFit="0" wrapText="1"/>
    </xf>
    <xf borderId="1" fillId="0" fontId="17" numFmtId="0" xfId="0" applyAlignment="1" applyBorder="1" applyFont="1">
      <alignment readingOrder="0" shrinkToFit="0" wrapText="1"/>
    </xf>
    <xf borderId="1" fillId="0" fontId="2" numFmtId="164" xfId="0" applyAlignment="1" applyBorder="1" applyFont="1" applyNumberFormat="1">
      <alignment horizontal="right" readingOrder="0" shrinkToFit="0" wrapText="1"/>
    </xf>
    <xf borderId="11" fillId="6" fontId="1" numFmtId="0" xfId="0" applyAlignment="1" applyBorder="1" applyFont="1">
      <alignment horizontal="center" readingOrder="0" shrinkToFit="0" wrapText="1"/>
    </xf>
    <xf borderId="12" fillId="6" fontId="1" numFmtId="0" xfId="0" applyAlignment="1" applyBorder="1" applyFont="1">
      <alignment horizontal="center" readingOrder="0" shrinkToFit="0" wrapText="1"/>
    </xf>
    <xf borderId="7" fillId="0" fontId="2" numFmtId="0" xfId="0" applyAlignment="1" applyBorder="1" applyFont="1">
      <alignment readingOrder="0" shrinkToFit="0" wrapText="1"/>
    </xf>
    <xf borderId="7" fillId="0" fontId="2" numFmtId="0" xfId="0" applyAlignment="1" applyBorder="1" applyFont="1">
      <alignment horizontal="center" readingOrder="0" shrinkToFit="0" wrapText="1"/>
    </xf>
    <xf borderId="6" fillId="0" fontId="2" numFmtId="168" xfId="0" applyAlignment="1" applyBorder="1" applyFont="1" applyNumberFormat="1">
      <alignment horizontal="center" readingOrder="0" shrinkToFit="0" wrapText="1"/>
    </xf>
    <xf borderId="7" fillId="0" fontId="18" numFmtId="0" xfId="0" applyAlignment="1" applyBorder="1" applyFont="1">
      <alignment readingOrder="0" shrinkToFit="0" wrapText="1"/>
    </xf>
    <xf borderId="8" fillId="0" fontId="2" numFmtId="168" xfId="0" applyAlignment="1" applyBorder="1" applyFont="1" applyNumberFormat="1">
      <alignment horizontal="center" readingOrder="0" shrinkToFit="0" wrapText="1"/>
    </xf>
    <xf borderId="1" fillId="0" fontId="19" numFmtId="0" xfId="0" applyAlignment="1" applyBorder="1" applyFont="1">
      <alignment readingOrder="0" shrinkToFit="0" wrapText="1"/>
    </xf>
    <xf borderId="1" fillId="0" fontId="20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shrinkToFit="0" wrapText="1"/>
    </xf>
    <xf borderId="8" fillId="0" fontId="2" numFmtId="0" xfId="0" applyAlignment="1" applyBorder="1" applyFont="1">
      <alignment horizontal="center" shrinkToFit="0" wrapText="1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cmms.com/products/tm2-1010-5-s?_pos=1&amp;_sid=bcf9e84f8&amp;_ss=r" TargetMode="External"/><Relationship Id="rId22" Type="http://schemas.openxmlformats.org/officeDocument/2006/relationships/hyperlink" Target="https://cmms.com/products/tm3-0625-sn?_pos=1&amp;_sid=dae0e9827&amp;_ss=r" TargetMode="External"/><Relationship Id="rId21" Type="http://schemas.openxmlformats.org/officeDocument/2006/relationships/hyperlink" Target="https://cmms.com/products/tm2-1020-ds-7" TargetMode="External"/><Relationship Id="rId24" Type="http://schemas.openxmlformats.org/officeDocument/2006/relationships/hyperlink" Target="https://cmms.com/products/tm3-1020-5-ds-7" TargetMode="External"/><Relationship Id="rId23" Type="http://schemas.openxmlformats.org/officeDocument/2006/relationships/hyperlink" Target="https://cmms.com/products/tm3-1020-5-ds-7" TargetMode="External"/><Relationship Id="rId1" Type="http://schemas.openxmlformats.org/officeDocument/2006/relationships/hyperlink" Target="https://shop.metrology.zeiss.com/INTERSHOP/web/WFS/IMT-US-Site/en_US/-/USD/ViewProduct-Start?SKU=620161-8274-000&amp;ExtendedNavigation=true" TargetMode="External"/><Relationship Id="rId2" Type="http://schemas.openxmlformats.org/officeDocument/2006/relationships/hyperlink" Target="https://shop.metrology.zeiss.com/INTERSHOP/web/WFS/IMT-US-Site/en_US/-/USD/ViewProduct-Start?SKU=626103-0300-050&amp;ExtendedNavigation=true" TargetMode="External"/><Relationship Id="rId3" Type="http://schemas.openxmlformats.org/officeDocument/2006/relationships/hyperlink" Target="https://shop.metrology.zeiss.com/INTERSHOP/web/WFS/IMT-US-Site/en_US/-/USD/ViewProduct-Start?SKU=626113-0051-024&amp;ExtendedNavigation=true" TargetMode="External"/><Relationship Id="rId4" Type="http://schemas.openxmlformats.org/officeDocument/2006/relationships/hyperlink" Target="https://shop.metrology.zeiss.com/INTERSHOP/web/WFS/IMT-US-Site/en_US/-/USD/ViewProduct-Start?SKU=626113-0150-030" TargetMode="External"/><Relationship Id="rId9" Type="http://schemas.openxmlformats.org/officeDocument/2006/relationships/hyperlink" Target="https://www.renishaw.com/shop/Product.aspx?Product=A-5003-0035" TargetMode="External"/><Relationship Id="rId26" Type="http://schemas.openxmlformats.org/officeDocument/2006/relationships/hyperlink" Target="https://cmms.com/products/tm3-3050-tx?_pos=2&amp;_sid=43cfcb446&amp;_ss=r" TargetMode="External"/><Relationship Id="rId25" Type="http://schemas.openxmlformats.org/officeDocument/2006/relationships/hyperlink" Target="https://cmms.com/products/tm3-2041?_pos=1&amp;_sid=b1602703b&amp;_ss=r" TargetMode="External"/><Relationship Id="rId28" Type="http://schemas.openxmlformats.org/officeDocument/2006/relationships/hyperlink" Target="https://cmms.com/products/vm3-50-tx?_pos=1&amp;_sid=e5c705184&amp;_ss=r" TargetMode="External"/><Relationship Id="rId27" Type="http://schemas.openxmlformats.org/officeDocument/2006/relationships/hyperlink" Target="https://cmms.com/products/vm3-35?_pos=1&amp;_sid=82cdce164&amp;_ss=r" TargetMode="External"/><Relationship Id="rId5" Type="http://schemas.openxmlformats.org/officeDocument/2006/relationships/hyperlink" Target="https://www.renishaw.com/shop/Product.aspx?Product=A-5000-7805" TargetMode="External"/><Relationship Id="rId6" Type="http://schemas.openxmlformats.org/officeDocument/2006/relationships/hyperlink" Target="https://www.renishaw.com/shop/Product.aspx?Product=A-5000-7812" TargetMode="External"/><Relationship Id="rId29" Type="http://schemas.openxmlformats.org/officeDocument/2006/relationships/hyperlink" Target="https://cmms.com/products/xxt-ap-id3?_pos=1&amp;_sid=01964a626&amp;_ss=r" TargetMode="External"/><Relationship Id="rId7" Type="http://schemas.openxmlformats.org/officeDocument/2006/relationships/hyperlink" Target="https://www.renishaw.com/shop/Product.aspx?Product=A-5000-8877" TargetMode="External"/><Relationship Id="rId8" Type="http://schemas.openxmlformats.org/officeDocument/2006/relationships/hyperlink" Target="https://www.renishaw.com/shop/Product.aspx?Product=A-5003-0033" TargetMode="External"/><Relationship Id="rId30" Type="http://schemas.openxmlformats.org/officeDocument/2006/relationships/drawing" Target="../drawings/drawing2.xml"/><Relationship Id="rId11" Type="http://schemas.openxmlformats.org/officeDocument/2006/relationships/hyperlink" Target="https://www.renishaw.com/shop/Product.aspx?Product=A-5003-0577&amp;lang=en" TargetMode="External"/><Relationship Id="rId10" Type="http://schemas.openxmlformats.org/officeDocument/2006/relationships/hyperlink" Target="https://www.renishaw.com/shop/Product.aspx?Product=A-5003-0040" TargetMode="External"/><Relationship Id="rId13" Type="http://schemas.openxmlformats.org/officeDocument/2006/relationships/hyperlink" Target="https://www.renishaw.com/shop/Product.aspx?Product=A-5003-1218&amp;lang=en" TargetMode="External"/><Relationship Id="rId12" Type="http://schemas.openxmlformats.org/officeDocument/2006/relationships/hyperlink" Target="https://www.renishaw.com/shop/Product.aspx?Product=A-5003-1210&amp;lang=en" TargetMode="External"/><Relationship Id="rId15" Type="http://schemas.openxmlformats.org/officeDocument/2006/relationships/hyperlink" Target="https://www.renishaw.com/shop/Product.aspx?Product=A-5555-1239&amp;lang=en" TargetMode="External"/><Relationship Id="rId14" Type="http://schemas.openxmlformats.org/officeDocument/2006/relationships/hyperlink" Target="https://www.renishaw.com/shop/Product.aspx?Product=A-5004-3430&amp;lang=en" TargetMode="External"/><Relationship Id="rId17" Type="http://schemas.openxmlformats.org/officeDocument/2006/relationships/hyperlink" Target="https://www.renishaw.com/shop/Product.aspx?Product=A-5555-9341&amp;lang=en" TargetMode="External"/><Relationship Id="rId16" Type="http://schemas.openxmlformats.org/officeDocument/2006/relationships/hyperlink" Target="https://www.renishaw.com/shop/Product.aspx?Product=A-5555-3892&amp;lang=en" TargetMode="External"/><Relationship Id="rId19" Type="http://schemas.openxmlformats.org/officeDocument/2006/relationships/hyperlink" Target="https://cmms.com/products/rm2-m3" TargetMode="External"/><Relationship Id="rId18" Type="http://schemas.openxmlformats.org/officeDocument/2006/relationships/hyperlink" Target="https://cmms.com/products/rm3-m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3.38"/>
    <col customWidth="1" min="2" max="2" width="30.38"/>
    <col customWidth="1" min="3" max="3" width="46.13"/>
    <col customWidth="1" min="4" max="4" width="12.38"/>
    <col customWidth="1" min="5" max="5" width="12.0"/>
    <col customWidth="1" min="6" max="6" width="11.63"/>
    <col customWidth="1" min="7" max="10" width="15.13"/>
    <col customWidth="1" min="11" max="11" width="27.13"/>
    <col customWidth="1" min="12" max="22" width="15.13"/>
  </cols>
  <sheetData>
    <row r="1" ht="27.0" customHeight="1">
      <c r="A1" s="1"/>
      <c r="B1" s="2" t="s">
        <v>0</v>
      </c>
      <c r="C1" s="2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3" t="s">
        <v>6</v>
      </c>
      <c r="J1" s="5" t="s">
        <v>2</v>
      </c>
      <c r="K1" s="5" t="s">
        <v>1</v>
      </c>
      <c r="L1" s="5" t="s">
        <v>6</v>
      </c>
    </row>
    <row r="2">
      <c r="A2" s="6"/>
      <c r="B2" s="7">
        <v>8061.0</v>
      </c>
      <c r="C2" s="8" t="s">
        <v>7</v>
      </c>
      <c r="D2" s="9" t="s">
        <v>8</v>
      </c>
      <c r="E2" s="9">
        <v>37.0</v>
      </c>
      <c r="F2" s="9"/>
      <c r="G2" s="9" t="s">
        <v>9</v>
      </c>
      <c r="H2" s="10">
        <v>43559.0</v>
      </c>
      <c r="J2" s="11"/>
      <c r="K2" s="12"/>
      <c r="L2" s="13"/>
    </row>
    <row r="3">
      <c r="A3" s="6"/>
      <c r="B3" s="7">
        <v>10170.0</v>
      </c>
      <c r="C3" s="8" t="s">
        <v>10</v>
      </c>
      <c r="D3" s="9" t="s">
        <v>11</v>
      </c>
      <c r="E3" s="9">
        <v>28.0</v>
      </c>
      <c r="F3" s="9"/>
      <c r="G3" s="9" t="s">
        <v>9</v>
      </c>
      <c r="H3" s="14">
        <v>43559.0</v>
      </c>
      <c r="J3" s="15" t="s">
        <v>12</v>
      </c>
      <c r="K3" s="12"/>
      <c r="L3" s="13"/>
    </row>
    <row r="4">
      <c r="A4" s="6"/>
      <c r="B4" s="16">
        <v>12907.0</v>
      </c>
      <c r="C4" s="17" t="s">
        <v>13</v>
      </c>
      <c r="D4" s="18" t="s">
        <v>14</v>
      </c>
      <c r="E4" s="18">
        <v>0.0</v>
      </c>
      <c r="F4" s="9"/>
      <c r="G4" s="18"/>
      <c r="H4" s="10">
        <v>43844.0</v>
      </c>
      <c r="J4" s="11"/>
      <c r="K4" s="12"/>
      <c r="L4" s="13"/>
    </row>
    <row r="5">
      <c r="A5" s="6"/>
      <c r="B5" s="7">
        <v>13372.0</v>
      </c>
      <c r="C5" s="8" t="s">
        <v>15</v>
      </c>
      <c r="D5" s="18" t="s">
        <v>16</v>
      </c>
      <c r="E5" s="9">
        <v>42.0</v>
      </c>
      <c r="F5" s="9"/>
      <c r="G5" s="9" t="s">
        <v>9</v>
      </c>
      <c r="H5" s="14">
        <v>43594.0</v>
      </c>
      <c r="J5" s="17" t="s">
        <v>17</v>
      </c>
      <c r="K5" s="19" t="s">
        <v>18</v>
      </c>
      <c r="L5" s="14">
        <v>46718.0</v>
      </c>
    </row>
    <row r="6">
      <c r="A6" s="6"/>
      <c r="B6" s="7">
        <v>13485.0</v>
      </c>
      <c r="C6" s="8" t="s">
        <v>19</v>
      </c>
      <c r="D6" s="9" t="s">
        <v>20</v>
      </c>
      <c r="E6" s="18">
        <v>92.0</v>
      </c>
      <c r="F6" s="9"/>
      <c r="G6" s="9" t="s">
        <v>9</v>
      </c>
      <c r="H6" s="14">
        <v>43559.0</v>
      </c>
      <c r="J6" s="17" t="s">
        <v>21</v>
      </c>
      <c r="K6" s="19" t="s">
        <v>18</v>
      </c>
      <c r="L6" s="14">
        <v>45257.0</v>
      </c>
    </row>
    <row r="7">
      <c r="A7" s="6"/>
      <c r="B7" s="20">
        <v>16070.0</v>
      </c>
      <c r="C7" s="17" t="s">
        <v>22</v>
      </c>
      <c r="D7" s="18" t="s">
        <v>23</v>
      </c>
      <c r="E7" s="18">
        <v>101.0</v>
      </c>
      <c r="F7" s="18"/>
      <c r="G7" s="18"/>
      <c r="H7" s="21">
        <v>46163.45675806713</v>
      </c>
      <c r="J7" s="17" t="s">
        <v>24</v>
      </c>
      <c r="K7" s="19" t="s">
        <v>18</v>
      </c>
      <c r="L7" s="14">
        <v>45257.0</v>
      </c>
    </row>
    <row r="8">
      <c r="A8" s="6"/>
      <c r="B8" s="22">
        <v>18626.0</v>
      </c>
      <c r="C8" s="17" t="s">
        <v>25</v>
      </c>
      <c r="D8" s="18" t="s">
        <v>26</v>
      </c>
      <c r="E8" s="18">
        <v>25.0</v>
      </c>
      <c r="F8" s="18"/>
      <c r="G8" s="18" t="s">
        <v>27</v>
      </c>
      <c r="H8" s="23">
        <v>42138.0</v>
      </c>
      <c r="J8" s="17" t="s">
        <v>28</v>
      </c>
      <c r="K8" s="19" t="s">
        <v>18</v>
      </c>
      <c r="L8" s="14">
        <v>45257.0</v>
      </c>
    </row>
    <row r="9">
      <c r="A9" s="6"/>
      <c r="B9" s="24">
        <v>20296.0</v>
      </c>
      <c r="C9" s="17" t="s">
        <v>29</v>
      </c>
      <c r="D9" s="18" t="s">
        <v>30</v>
      </c>
      <c r="E9" s="18">
        <v>8.0</v>
      </c>
      <c r="F9" s="18"/>
      <c r="G9" s="18" t="s">
        <v>31</v>
      </c>
      <c r="H9" s="25"/>
      <c r="J9" s="17" t="s">
        <v>32</v>
      </c>
      <c r="K9" s="19" t="s">
        <v>18</v>
      </c>
      <c r="L9" s="14">
        <v>45257.0</v>
      </c>
    </row>
    <row r="10">
      <c r="A10" s="6"/>
      <c r="B10" s="7">
        <v>20297.0</v>
      </c>
      <c r="C10" s="17" t="s">
        <v>33</v>
      </c>
      <c r="D10" s="18" t="s">
        <v>34</v>
      </c>
      <c r="E10" s="18">
        <v>56.0</v>
      </c>
      <c r="F10" s="9"/>
      <c r="G10" s="9" t="s">
        <v>9</v>
      </c>
      <c r="H10" s="14">
        <v>43559.0</v>
      </c>
      <c r="J10" s="17" t="s">
        <v>35</v>
      </c>
      <c r="K10" s="19" t="s">
        <v>18</v>
      </c>
      <c r="L10" s="14">
        <v>45257.0</v>
      </c>
    </row>
    <row r="11">
      <c r="A11" s="26"/>
      <c r="B11" s="7">
        <v>20298.0</v>
      </c>
      <c r="C11" s="8" t="s">
        <v>36</v>
      </c>
      <c r="D11" s="18" t="s">
        <v>37</v>
      </c>
      <c r="E11" s="18">
        <v>0.0</v>
      </c>
      <c r="F11" s="9"/>
      <c r="G11" s="9" t="s">
        <v>9</v>
      </c>
      <c r="H11" s="14"/>
      <c r="J11" s="17" t="s">
        <v>38</v>
      </c>
      <c r="K11" s="19" t="s">
        <v>18</v>
      </c>
      <c r="L11" s="14">
        <v>45257.0</v>
      </c>
    </row>
    <row r="12">
      <c r="A12" s="26"/>
      <c r="B12" s="27">
        <v>20929.0</v>
      </c>
      <c r="C12" s="8" t="s">
        <v>39</v>
      </c>
      <c r="D12" s="18" t="s">
        <v>37</v>
      </c>
      <c r="E12" s="9">
        <v>0.0</v>
      </c>
      <c r="F12" s="9"/>
      <c r="G12" s="9" t="s">
        <v>9</v>
      </c>
      <c r="H12" s="14"/>
      <c r="J12" s="17" t="s">
        <v>40</v>
      </c>
      <c r="K12" s="19" t="s">
        <v>18</v>
      </c>
      <c r="L12" s="14">
        <v>45257.0</v>
      </c>
    </row>
    <row r="13">
      <c r="A13" s="26"/>
      <c r="B13" s="20">
        <v>20929.0</v>
      </c>
      <c r="C13" s="8" t="s">
        <v>41</v>
      </c>
      <c r="D13" s="9" t="s">
        <v>42</v>
      </c>
      <c r="E13" s="18">
        <v>106.0</v>
      </c>
      <c r="F13" s="9"/>
      <c r="G13" s="9" t="s">
        <v>9</v>
      </c>
      <c r="H13" s="14">
        <v>43559.0</v>
      </c>
      <c r="J13" s="17" t="s">
        <v>43</v>
      </c>
      <c r="K13" s="19" t="s">
        <v>44</v>
      </c>
      <c r="L13" s="14">
        <v>45257.0</v>
      </c>
    </row>
    <row r="14">
      <c r="A14" s="26"/>
      <c r="B14" s="20">
        <v>23049.0</v>
      </c>
      <c r="C14" s="8" t="s">
        <v>45</v>
      </c>
      <c r="D14" s="18" t="s">
        <v>46</v>
      </c>
      <c r="E14" s="18">
        <v>0.0</v>
      </c>
      <c r="F14" s="9"/>
      <c r="G14" s="9" t="s">
        <v>47</v>
      </c>
      <c r="H14" s="14">
        <v>45898.0</v>
      </c>
      <c r="J14" s="17" t="s">
        <v>48</v>
      </c>
      <c r="K14" s="19" t="s">
        <v>49</v>
      </c>
      <c r="L14" s="14">
        <v>45257.0</v>
      </c>
    </row>
    <row r="15">
      <c r="A15" s="26"/>
      <c r="B15" s="28">
        <v>50204.0</v>
      </c>
      <c r="C15" s="17" t="s">
        <v>50</v>
      </c>
      <c r="D15" s="18" t="s">
        <v>51</v>
      </c>
      <c r="E15" s="18">
        <v>90.0</v>
      </c>
      <c r="F15" s="9"/>
      <c r="G15" s="18" t="s">
        <v>52</v>
      </c>
      <c r="H15" s="29">
        <v>44413.0</v>
      </c>
      <c r="J15" s="17" t="s">
        <v>53</v>
      </c>
      <c r="K15" s="19" t="s">
        <v>54</v>
      </c>
      <c r="L15" s="14">
        <v>45258.0</v>
      </c>
    </row>
    <row r="16">
      <c r="A16" s="26"/>
      <c r="B16" s="20">
        <v>53807.0</v>
      </c>
      <c r="C16" s="17" t="s">
        <v>55</v>
      </c>
      <c r="D16" s="18" t="s">
        <v>23</v>
      </c>
      <c r="E16" s="18">
        <v>0.0</v>
      </c>
      <c r="F16" s="18"/>
      <c r="G16" s="18"/>
      <c r="H16" s="10">
        <v>44470.0</v>
      </c>
      <c r="J16" s="17" t="s">
        <v>56</v>
      </c>
      <c r="K16" s="17" t="s">
        <v>57</v>
      </c>
      <c r="L16" s="14">
        <v>45258.0</v>
      </c>
    </row>
    <row r="17">
      <c r="A17" s="26"/>
      <c r="B17" s="27">
        <v>70177.0</v>
      </c>
      <c r="C17" s="8" t="s">
        <v>58</v>
      </c>
      <c r="D17" s="9">
        <v>20298.0</v>
      </c>
      <c r="E17" s="9">
        <v>33.0</v>
      </c>
      <c r="F17" s="9"/>
      <c r="G17" s="9" t="s">
        <v>9</v>
      </c>
      <c r="H17" s="25"/>
    </row>
    <row r="18">
      <c r="A18" s="26"/>
      <c r="B18" s="27">
        <v>426906.0</v>
      </c>
      <c r="C18" s="8" t="s">
        <v>59</v>
      </c>
      <c r="D18" s="18" t="s">
        <v>60</v>
      </c>
      <c r="E18" s="18">
        <v>7.0</v>
      </c>
      <c r="F18" s="9"/>
      <c r="G18" s="9" t="s">
        <v>9</v>
      </c>
      <c r="H18" s="25"/>
    </row>
    <row r="19">
      <c r="A19" s="26"/>
      <c r="B19" s="27">
        <v>426907.0</v>
      </c>
      <c r="C19" s="8" t="s">
        <v>61</v>
      </c>
      <c r="D19" s="18" t="s">
        <v>60</v>
      </c>
      <c r="E19" s="18">
        <v>14.0</v>
      </c>
      <c r="F19" s="9"/>
      <c r="G19" s="9" t="s">
        <v>62</v>
      </c>
      <c r="H19" s="23"/>
    </row>
    <row r="20">
      <c r="A20" s="26"/>
      <c r="B20" s="27">
        <v>427079.0</v>
      </c>
      <c r="C20" s="8" t="s">
        <v>63</v>
      </c>
      <c r="D20" s="18" t="s">
        <v>64</v>
      </c>
      <c r="E20" s="18">
        <v>13.0</v>
      </c>
      <c r="F20" s="9"/>
      <c r="G20" s="9" t="s">
        <v>62</v>
      </c>
      <c r="H20" s="23">
        <v>43594.0</v>
      </c>
      <c r="I20" s="11" t="s">
        <v>65</v>
      </c>
    </row>
    <row r="21">
      <c r="A21" s="26"/>
      <c r="B21" s="27">
        <v>608537.0</v>
      </c>
      <c r="C21" s="8" t="s">
        <v>66</v>
      </c>
      <c r="D21" s="18" t="s">
        <v>67</v>
      </c>
      <c r="E21" s="18">
        <v>2.0</v>
      </c>
      <c r="F21" s="9"/>
      <c r="G21" s="9" t="s">
        <v>62</v>
      </c>
      <c r="H21" s="30">
        <v>45042.0</v>
      </c>
    </row>
    <row r="22">
      <c r="A22" s="26"/>
      <c r="B22" s="28">
        <v>2.6935515E7</v>
      </c>
      <c r="C22" s="17" t="s">
        <v>68</v>
      </c>
      <c r="D22" s="18" t="s">
        <v>69</v>
      </c>
      <c r="E22" s="18">
        <v>2.0</v>
      </c>
      <c r="F22" s="9"/>
      <c r="G22" s="18" t="s">
        <v>70</v>
      </c>
      <c r="H22" s="14">
        <v>44720.0</v>
      </c>
    </row>
    <row r="23">
      <c r="A23" s="26"/>
      <c r="B23" s="17" t="s">
        <v>71</v>
      </c>
      <c r="C23" s="17" t="s">
        <v>72</v>
      </c>
      <c r="D23" s="18" t="s">
        <v>73</v>
      </c>
      <c r="E23" s="18" t="s">
        <v>74</v>
      </c>
      <c r="F23" s="9"/>
      <c r="G23" s="18" t="s">
        <v>75</v>
      </c>
      <c r="H23" s="23">
        <v>45246.0</v>
      </c>
    </row>
    <row r="24">
      <c r="A24" s="26"/>
      <c r="B24" s="20">
        <v>23061.0</v>
      </c>
      <c r="C24" s="17" t="s">
        <v>76</v>
      </c>
      <c r="D24" s="18" t="s">
        <v>77</v>
      </c>
      <c r="E24" s="18">
        <v>11.0</v>
      </c>
      <c r="F24" s="9"/>
      <c r="G24" s="18"/>
      <c r="H24" s="10">
        <v>43594.0</v>
      </c>
    </row>
    <row r="25">
      <c r="A25" s="26"/>
      <c r="B25" s="31" t="s">
        <v>78</v>
      </c>
      <c r="C25" s="17" t="s">
        <v>79</v>
      </c>
      <c r="D25" s="18" t="s">
        <v>80</v>
      </c>
      <c r="E25" s="18">
        <f>516-3-13-5</f>
        <v>495</v>
      </c>
      <c r="F25" s="18"/>
      <c r="G25" s="18" t="s">
        <v>75</v>
      </c>
      <c r="H25" s="32">
        <v>46064.371933622686</v>
      </c>
    </row>
    <row r="26">
      <c r="A26" s="26"/>
      <c r="B26" s="31" t="s">
        <v>81</v>
      </c>
      <c r="C26" s="17" t="s">
        <v>82</v>
      </c>
      <c r="D26" s="9" t="s">
        <v>83</v>
      </c>
      <c r="E26" s="18">
        <f>311-13-1</f>
        <v>297</v>
      </c>
      <c r="F26" s="9"/>
      <c r="G26" s="9" t="s">
        <v>75</v>
      </c>
      <c r="H26" s="32">
        <v>46104.32248274305</v>
      </c>
    </row>
    <row r="27">
      <c r="A27" s="26"/>
      <c r="B27" s="31" t="s">
        <v>84</v>
      </c>
      <c r="C27" s="8" t="s">
        <v>85</v>
      </c>
      <c r="D27" s="18" t="s">
        <v>86</v>
      </c>
      <c r="E27" s="18">
        <v>533.0</v>
      </c>
      <c r="F27" s="9"/>
      <c r="G27" s="9" t="s">
        <v>75</v>
      </c>
      <c r="H27" s="23">
        <v>43594.0</v>
      </c>
      <c r="I27" s="11"/>
    </row>
    <row r="28">
      <c r="A28" s="26"/>
      <c r="B28" s="33" t="s">
        <v>87</v>
      </c>
      <c r="C28" s="17" t="s">
        <v>88</v>
      </c>
      <c r="D28" s="9" t="s">
        <v>89</v>
      </c>
      <c r="E28" s="34">
        <f>159-1</f>
        <v>158</v>
      </c>
      <c r="F28" s="9"/>
      <c r="G28" s="9" t="s">
        <v>75</v>
      </c>
      <c r="H28" s="35">
        <v>45463.0</v>
      </c>
      <c r="I28" s="11"/>
    </row>
    <row r="29">
      <c r="A29" s="26"/>
      <c r="B29" s="33" t="s">
        <v>90</v>
      </c>
      <c r="C29" s="8" t="s">
        <v>91</v>
      </c>
      <c r="D29" s="9" t="s">
        <v>92</v>
      </c>
      <c r="E29" s="34">
        <f>46-25-1-4+231-1-1</f>
        <v>245</v>
      </c>
      <c r="F29" s="9"/>
      <c r="G29" s="9" t="s">
        <v>75</v>
      </c>
      <c r="H29" s="32">
        <v>46062.38243171296</v>
      </c>
      <c r="I29" s="11"/>
    </row>
    <row r="30">
      <c r="A30" s="26"/>
      <c r="B30" s="33" t="s">
        <v>93</v>
      </c>
      <c r="C30" s="17" t="s">
        <v>94</v>
      </c>
      <c r="D30" s="9" t="s">
        <v>95</v>
      </c>
      <c r="E30" s="34">
        <f>157-1</f>
        <v>156</v>
      </c>
      <c r="F30" s="9"/>
      <c r="G30" s="9" t="s">
        <v>75</v>
      </c>
      <c r="H30" s="32">
        <v>46036.45540168982</v>
      </c>
    </row>
    <row r="31">
      <c r="A31" s="26"/>
      <c r="B31" s="33" t="s">
        <v>96</v>
      </c>
      <c r="C31" s="17" t="s">
        <v>97</v>
      </c>
      <c r="D31" s="18" t="s">
        <v>98</v>
      </c>
      <c r="E31" s="34">
        <f>148-3-6</f>
        <v>139</v>
      </c>
      <c r="F31" s="9"/>
      <c r="G31" s="9" t="s">
        <v>75</v>
      </c>
      <c r="H31" s="23">
        <v>45915.0</v>
      </c>
    </row>
    <row r="32">
      <c r="A32" s="26"/>
      <c r="B32" s="33" t="s">
        <v>99</v>
      </c>
      <c r="C32" s="17" t="s">
        <v>100</v>
      </c>
      <c r="D32" s="9" t="s">
        <v>101</v>
      </c>
      <c r="E32" s="34">
        <f>242-3-12-5-1</f>
        <v>221</v>
      </c>
      <c r="F32" s="9"/>
      <c r="G32" s="9" t="s">
        <v>75</v>
      </c>
      <c r="H32" s="32">
        <v>46104.32231695602</v>
      </c>
    </row>
    <row r="33">
      <c r="A33" s="36"/>
      <c r="B33" s="33" t="s">
        <v>102</v>
      </c>
      <c r="C33" s="17" t="s">
        <v>103</v>
      </c>
      <c r="D33" s="18" t="s">
        <v>104</v>
      </c>
      <c r="E33" s="34">
        <f>210-13</f>
        <v>197</v>
      </c>
      <c r="F33" s="9"/>
      <c r="G33" s="9" t="s">
        <v>75</v>
      </c>
      <c r="H33" s="32">
        <v>46062.38269506945</v>
      </c>
    </row>
    <row r="34">
      <c r="A34" s="37"/>
      <c r="B34" s="33" t="s">
        <v>105</v>
      </c>
      <c r="C34" s="17" t="s">
        <v>106</v>
      </c>
      <c r="D34" s="18" t="s">
        <v>107</v>
      </c>
      <c r="E34" s="38">
        <v>193.0</v>
      </c>
      <c r="F34" s="9"/>
      <c r="G34" s="9" t="s">
        <v>75</v>
      </c>
      <c r="H34" s="23">
        <v>44999.0</v>
      </c>
    </row>
    <row r="35">
      <c r="A35" s="26"/>
      <c r="B35" s="33" t="s">
        <v>108</v>
      </c>
      <c r="C35" s="17" t="s">
        <v>109</v>
      </c>
      <c r="D35" s="18" t="s">
        <v>110</v>
      </c>
      <c r="E35" s="34">
        <v>188.0</v>
      </c>
      <c r="F35" s="9"/>
      <c r="G35" s="9" t="s">
        <v>75</v>
      </c>
      <c r="H35" s="23">
        <v>43595.0</v>
      </c>
    </row>
    <row r="36">
      <c r="A36" s="26"/>
      <c r="B36" s="33" t="s">
        <v>111</v>
      </c>
      <c r="C36" s="8" t="s">
        <v>112</v>
      </c>
      <c r="D36" s="9" t="s">
        <v>113</v>
      </c>
      <c r="E36" s="18">
        <f>466-3-3</f>
        <v>460</v>
      </c>
      <c r="F36" s="9"/>
      <c r="G36" s="9" t="s">
        <v>75</v>
      </c>
      <c r="H36" s="23">
        <v>45915.0</v>
      </c>
    </row>
    <row r="37">
      <c r="A37" s="26"/>
      <c r="B37" s="33" t="s">
        <v>114</v>
      </c>
      <c r="C37" s="8" t="s">
        <v>115</v>
      </c>
      <c r="D37" s="9" t="s">
        <v>116</v>
      </c>
      <c r="E37" s="18">
        <f>340-3</f>
        <v>337</v>
      </c>
      <c r="F37" s="9"/>
      <c r="G37" s="9" t="s">
        <v>75</v>
      </c>
      <c r="H37" s="14">
        <v>45915.0</v>
      </c>
    </row>
    <row r="38">
      <c r="A38" s="26"/>
      <c r="B38" s="39" t="s">
        <v>117</v>
      </c>
      <c r="C38" s="17" t="s">
        <v>118</v>
      </c>
      <c r="D38" s="9" t="s">
        <v>119</v>
      </c>
      <c r="E38" s="34">
        <f>199-3</f>
        <v>196</v>
      </c>
      <c r="F38" s="9"/>
      <c r="G38" s="9" t="s">
        <v>75</v>
      </c>
      <c r="H38" s="23">
        <v>44578.0</v>
      </c>
    </row>
    <row r="39">
      <c r="A39" s="26"/>
      <c r="B39" s="39" t="s">
        <v>120</v>
      </c>
      <c r="C39" s="8" t="s">
        <v>121</v>
      </c>
      <c r="D39" s="9" t="s">
        <v>122</v>
      </c>
      <c r="E39" s="34">
        <v>195.0</v>
      </c>
      <c r="F39" s="9"/>
      <c r="G39" s="9" t="s">
        <v>75</v>
      </c>
      <c r="H39" s="23">
        <v>43595.0</v>
      </c>
    </row>
    <row r="40">
      <c r="A40" s="26"/>
      <c r="B40" s="17" t="s">
        <v>123</v>
      </c>
      <c r="C40" s="17" t="s">
        <v>124</v>
      </c>
      <c r="D40" s="9" t="s">
        <v>125</v>
      </c>
      <c r="E40" s="34">
        <v>161.0</v>
      </c>
      <c r="F40" s="9"/>
      <c r="G40" s="9" t="s">
        <v>75</v>
      </c>
      <c r="H40" s="23">
        <v>43595.0</v>
      </c>
    </row>
    <row r="41">
      <c r="A41" s="26"/>
      <c r="B41" s="17" t="s">
        <v>126</v>
      </c>
      <c r="C41" s="8" t="s">
        <v>127</v>
      </c>
      <c r="D41" s="9" t="s">
        <v>128</v>
      </c>
      <c r="E41" s="34">
        <v>163.0</v>
      </c>
      <c r="F41" s="9"/>
      <c r="G41" s="9" t="s">
        <v>75</v>
      </c>
      <c r="H41" s="23">
        <v>43595.0</v>
      </c>
    </row>
    <row r="42">
      <c r="A42" s="26"/>
      <c r="B42" s="16" t="s">
        <v>129</v>
      </c>
      <c r="C42" s="17" t="s">
        <v>130</v>
      </c>
      <c r="D42" s="18" t="s">
        <v>131</v>
      </c>
      <c r="E42" s="18">
        <v>12.0</v>
      </c>
      <c r="F42" s="18"/>
      <c r="G42" s="18" t="s">
        <v>132</v>
      </c>
      <c r="H42" s="10">
        <v>44287.0</v>
      </c>
      <c r="J42" s="11" t="s">
        <v>133</v>
      </c>
      <c r="K42" s="11" t="s">
        <v>134</v>
      </c>
    </row>
    <row r="43">
      <c r="A43" s="26"/>
      <c r="B43" s="17" t="s">
        <v>135</v>
      </c>
      <c r="C43" s="40" t="s">
        <v>130</v>
      </c>
      <c r="D43" s="18" t="s">
        <v>23</v>
      </c>
      <c r="E43" s="18">
        <v>12.0</v>
      </c>
      <c r="F43" s="41"/>
      <c r="G43" s="18" t="s">
        <v>132</v>
      </c>
      <c r="H43" s="14">
        <v>43775.0</v>
      </c>
    </row>
    <row r="44">
      <c r="A44" s="26"/>
      <c r="B44" s="16" t="s">
        <v>136</v>
      </c>
      <c r="C44" s="17" t="s">
        <v>137</v>
      </c>
      <c r="D44" s="18" t="s">
        <v>138</v>
      </c>
      <c r="E44" s="18">
        <v>3.0</v>
      </c>
      <c r="F44" s="9"/>
      <c r="G44" s="9"/>
      <c r="H44" s="14">
        <v>43559.0</v>
      </c>
    </row>
    <row r="45">
      <c r="A45" s="26"/>
      <c r="B45" s="17" t="s">
        <v>139</v>
      </c>
      <c r="C45" s="17" t="s">
        <v>140</v>
      </c>
      <c r="D45" s="18" t="s">
        <v>138</v>
      </c>
      <c r="E45" s="42">
        <v>22.0</v>
      </c>
      <c r="F45" s="9"/>
      <c r="G45" s="18" t="s">
        <v>75</v>
      </c>
      <c r="H45" s="14">
        <v>44370.0</v>
      </c>
    </row>
    <row r="46">
      <c r="A46" s="26"/>
      <c r="B46" s="16" t="s">
        <v>141</v>
      </c>
      <c r="C46" s="17" t="s">
        <v>142</v>
      </c>
      <c r="D46" s="18" t="s">
        <v>138</v>
      </c>
      <c r="E46" s="18">
        <v>20.0</v>
      </c>
      <c r="F46" s="9"/>
      <c r="G46" s="9"/>
      <c r="H46" s="14">
        <v>43559.0</v>
      </c>
    </row>
    <row r="47">
      <c r="A47" s="26"/>
      <c r="B47" s="17" t="s">
        <v>143</v>
      </c>
      <c r="C47" s="17" t="s">
        <v>144</v>
      </c>
      <c r="D47" s="18" t="s">
        <v>145</v>
      </c>
      <c r="E47" s="42">
        <f>32-8</f>
        <v>24</v>
      </c>
      <c r="F47" s="9"/>
      <c r="G47" s="18" t="s">
        <v>75</v>
      </c>
      <c r="H47" s="32">
        <v>46101.44506392362</v>
      </c>
    </row>
    <row r="48">
      <c r="A48" s="43"/>
      <c r="B48" s="17" t="s">
        <v>146</v>
      </c>
      <c r="C48" s="17" t="s">
        <v>147</v>
      </c>
      <c r="D48" s="18" t="s">
        <v>148</v>
      </c>
      <c r="E48" s="18">
        <v>47.0</v>
      </c>
      <c r="F48" s="9"/>
      <c r="G48" s="18" t="s">
        <v>75</v>
      </c>
      <c r="H48" s="32">
        <v>46154.450331053245</v>
      </c>
    </row>
    <row r="49">
      <c r="A49" s="43"/>
      <c r="B49" s="17" t="s">
        <v>149</v>
      </c>
      <c r="C49" s="17" t="s">
        <v>150</v>
      </c>
      <c r="D49" s="18" t="s">
        <v>151</v>
      </c>
      <c r="E49" s="18">
        <v>2.0</v>
      </c>
      <c r="F49" s="9"/>
      <c r="G49" s="18" t="s">
        <v>75</v>
      </c>
      <c r="H49" s="32">
        <v>46154.45331295139</v>
      </c>
    </row>
    <row r="50">
      <c r="A50" s="43"/>
      <c r="B50" s="8" t="s">
        <v>152</v>
      </c>
      <c r="C50" s="8" t="s">
        <v>153</v>
      </c>
      <c r="D50" s="9" t="s">
        <v>154</v>
      </c>
      <c r="E50" s="9">
        <v>1.0</v>
      </c>
      <c r="F50" s="9"/>
      <c r="G50" s="9" t="s">
        <v>75</v>
      </c>
      <c r="H50" s="25"/>
    </row>
    <row r="51">
      <c r="A51" s="43"/>
      <c r="B51" s="17" t="s">
        <v>155</v>
      </c>
      <c r="C51" s="17" t="s">
        <v>156</v>
      </c>
      <c r="D51" s="18" t="s">
        <v>157</v>
      </c>
      <c r="E51" s="18">
        <v>30.0</v>
      </c>
      <c r="F51" s="9"/>
      <c r="G51" s="18" t="s">
        <v>75</v>
      </c>
      <c r="H51" s="32">
        <v>46154.443281064814</v>
      </c>
    </row>
    <row r="52">
      <c r="A52" s="43"/>
      <c r="B52" s="17" t="s">
        <v>158</v>
      </c>
      <c r="C52" s="17" t="s">
        <v>159</v>
      </c>
      <c r="D52" s="18" t="s">
        <v>160</v>
      </c>
      <c r="E52" s="18">
        <v>30.0</v>
      </c>
      <c r="F52" s="9"/>
      <c r="G52" s="18" t="s">
        <v>75</v>
      </c>
      <c r="H52" s="32">
        <v>46154.44333311342</v>
      </c>
    </row>
    <row r="53">
      <c r="A53" s="43"/>
      <c r="B53" s="17" t="s">
        <v>161</v>
      </c>
      <c r="C53" s="17" t="s">
        <v>161</v>
      </c>
      <c r="D53" s="18" t="s">
        <v>162</v>
      </c>
      <c r="E53" s="18">
        <v>31.0</v>
      </c>
      <c r="F53" s="9"/>
      <c r="G53" s="18" t="s">
        <v>75</v>
      </c>
      <c r="H53" s="32">
        <v>46154.44510521991</v>
      </c>
    </row>
    <row r="54">
      <c r="A54" s="43"/>
      <c r="B54" s="17" t="s">
        <v>163</v>
      </c>
      <c r="C54" s="17" t="s">
        <v>164</v>
      </c>
      <c r="D54" s="18" t="s">
        <v>165</v>
      </c>
      <c r="E54" s="18">
        <v>6.0</v>
      </c>
      <c r="F54" s="18"/>
      <c r="G54" s="18" t="s">
        <v>75</v>
      </c>
      <c r="H54" s="23">
        <v>42732.0</v>
      </c>
    </row>
    <row r="55">
      <c r="A55" s="43"/>
      <c r="B55" s="17" t="s">
        <v>166</v>
      </c>
      <c r="C55" s="17" t="s">
        <v>167</v>
      </c>
      <c r="D55" s="18" t="s">
        <v>168</v>
      </c>
      <c r="E55" s="42">
        <v>32.0</v>
      </c>
      <c r="F55" s="18"/>
      <c r="G55" s="18" t="s">
        <v>75</v>
      </c>
      <c r="H55" s="23">
        <v>43619.0</v>
      </c>
    </row>
    <row r="56">
      <c r="A56" s="43"/>
      <c r="B56" s="17" t="s">
        <v>169</v>
      </c>
      <c r="C56" s="17" t="s">
        <v>170</v>
      </c>
      <c r="D56" s="18" t="s">
        <v>171</v>
      </c>
      <c r="E56" s="18">
        <v>2.0</v>
      </c>
      <c r="F56" s="9"/>
      <c r="G56" s="18" t="s">
        <v>75</v>
      </c>
      <c r="H56" s="23">
        <v>44384.0</v>
      </c>
    </row>
    <row r="57">
      <c r="A57" s="43"/>
      <c r="B57" s="17" t="s">
        <v>172</v>
      </c>
      <c r="C57" s="17" t="s">
        <v>173</v>
      </c>
      <c r="D57" s="18" t="s">
        <v>171</v>
      </c>
      <c r="E57" s="18">
        <v>0.0</v>
      </c>
      <c r="F57" s="9"/>
      <c r="G57" s="18" t="s">
        <v>75</v>
      </c>
      <c r="H57" s="23">
        <v>44384.0</v>
      </c>
    </row>
    <row r="58">
      <c r="A58" s="43"/>
      <c r="B58" s="17" t="s">
        <v>174</v>
      </c>
      <c r="C58" s="17" t="s">
        <v>175</v>
      </c>
      <c r="D58" s="18" t="s">
        <v>171</v>
      </c>
      <c r="E58" s="18">
        <f>4-2</f>
        <v>2</v>
      </c>
      <c r="F58" s="9"/>
      <c r="G58" s="18" t="s">
        <v>75</v>
      </c>
      <c r="H58" s="44">
        <v>46160.315549583334</v>
      </c>
    </row>
    <row r="59">
      <c r="A59" s="43"/>
      <c r="B59" s="17" t="s">
        <v>176</v>
      </c>
      <c r="C59" s="17" t="s">
        <v>177</v>
      </c>
      <c r="D59" s="18" t="s">
        <v>171</v>
      </c>
      <c r="E59" s="18">
        <f>3-3</f>
        <v>0</v>
      </c>
      <c r="F59" s="9"/>
      <c r="G59" s="18" t="s">
        <v>75</v>
      </c>
      <c r="H59" s="44">
        <v>46160.45388519676</v>
      </c>
    </row>
    <row r="60">
      <c r="A60" s="43"/>
      <c r="B60" s="22" t="s">
        <v>178</v>
      </c>
      <c r="C60" s="17" t="s">
        <v>179</v>
      </c>
      <c r="D60" s="18" t="s">
        <v>180</v>
      </c>
      <c r="E60" s="18">
        <v>2.0</v>
      </c>
      <c r="F60" s="18"/>
      <c r="G60" s="18" t="s">
        <v>181</v>
      </c>
      <c r="H60" s="23">
        <v>43559.0</v>
      </c>
    </row>
    <row r="61">
      <c r="A61" s="43"/>
      <c r="B61" s="17" t="s">
        <v>182</v>
      </c>
      <c r="C61" s="17" t="s">
        <v>183</v>
      </c>
      <c r="D61" s="18" t="s">
        <v>184</v>
      </c>
      <c r="E61" s="42">
        <v>25.0</v>
      </c>
      <c r="F61" s="9"/>
      <c r="G61" s="18" t="s">
        <v>75</v>
      </c>
      <c r="H61" s="14">
        <v>43900.0</v>
      </c>
    </row>
    <row r="62">
      <c r="A62" s="43"/>
      <c r="B62" s="17" t="s">
        <v>185</v>
      </c>
      <c r="C62" s="17" t="s">
        <v>186</v>
      </c>
      <c r="D62" s="18" t="s">
        <v>184</v>
      </c>
      <c r="E62" s="42">
        <v>179.0</v>
      </c>
      <c r="F62" s="9"/>
      <c r="G62" s="18" t="s">
        <v>75</v>
      </c>
      <c r="H62" s="23">
        <v>43585.0</v>
      </c>
    </row>
    <row r="63">
      <c r="A63" s="43"/>
      <c r="B63" s="17" t="s">
        <v>187</v>
      </c>
      <c r="C63" s="17" t="s">
        <v>188</v>
      </c>
      <c r="D63" s="18" t="s">
        <v>184</v>
      </c>
      <c r="E63" s="42">
        <f>38-3-6-29+250-8-16</f>
        <v>226</v>
      </c>
      <c r="F63" s="9"/>
      <c r="G63" s="18" t="s">
        <v>75</v>
      </c>
      <c r="H63" s="23">
        <v>44893.0</v>
      </c>
    </row>
    <row r="64">
      <c r="A64" s="43"/>
      <c r="B64" s="17" t="s">
        <v>189</v>
      </c>
      <c r="C64" s="17" t="s">
        <v>190</v>
      </c>
      <c r="D64" s="18" t="s">
        <v>184</v>
      </c>
      <c r="E64" s="42">
        <f>191-3-103+294-294-85+250-20-10-50</f>
        <v>170</v>
      </c>
      <c r="F64" s="9"/>
      <c r="G64" s="18" t="s">
        <v>75</v>
      </c>
      <c r="H64" s="23">
        <v>45509.0</v>
      </c>
    </row>
    <row r="65">
      <c r="A65" s="45"/>
      <c r="B65" s="22" t="s">
        <v>191</v>
      </c>
      <c r="C65" s="8" t="s">
        <v>192</v>
      </c>
      <c r="D65" s="9" t="s">
        <v>193</v>
      </c>
      <c r="E65" s="9">
        <v>4.0</v>
      </c>
      <c r="F65" s="9"/>
      <c r="G65" s="9" t="s">
        <v>75</v>
      </c>
      <c r="H65" s="23">
        <v>41724.0</v>
      </c>
    </row>
    <row r="66">
      <c r="A66" s="45"/>
      <c r="B66" s="17" t="s">
        <v>194</v>
      </c>
      <c r="C66" s="17" t="s">
        <v>195</v>
      </c>
      <c r="D66" s="18" t="s">
        <v>196</v>
      </c>
      <c r="E66" s="18">
        <v>1.0</v>
      </c>
      <c r="F66" s="18">
        <v>2.0</v>
      </c>
      <c r="G66" s="18" t="s">
        <v>31</v>
      </c>
      <c r="H66" s="23">
        <v>45495.0</v>
      </c>
    </row>
    <row r="67">
      <c r="A67" s="46"/>
      <c r="B67" s="17" t="s">
        <v>197</v>
      </c>
      <c r="C67" s="17" t="s">
        <v>198</v>
      </c>
      <c r="D67" s="18" t="s">
        <v>199</v>
      </c>
      <c r="E67" s="18">
        <v>4.0</v>
      </c>
      <c r="F67" s="18"/>
      <c r="G67" s="18" t="s">
        <v>75</v>
      </c>
      <c r="H67" s="23">
        <v>43868.0</v>
      </c>
    </row>
    <row r="68">
      <c r="A68" s="36"/>
      <c r="B68" s="17" t="s">
        <v>200</v>
      </c>
      <c r="C68" s="17" t="s">
        <v>201</v>
      </c>
      <c r="D68" s="18" t="s">
        <v>202</v>
      </c>
      <c r="E68" s="18">
        <v>3.0</v>
      </c>
      <c r="F68" s="9"/>
      <c r="G68" s="18" t="s">
        <v>203</v>
      </c>
      <c r="H68" s="23">
        <v>43598.0</v>
      </c>
    </row>
    <row r="69">
      <c r="A69" s="36"/>
      <c r="B69" s="17" t="s">
        <v>204</v>
      </c>
      <c r="C69" s="17" t="s">
        <v>205</v>
      </c>
      <c r="D69" s="18"/>
      <c r="E69" s="18"/>
      <c r="F69" s="9"/>
      <c r="G69" s="18"/>
      <c r="H69" s="23"/>
    </row>
    <row r="70">
      <c r="A70" s="45"/>
      <c r="B70" s="17" t="s">
        <v>206</v>
      </c>
      <c r="C70" s="17" t="s">
        <v>207</v>
      </c>
      <c r="D70" s="18" t="s">
        <v>208</v>
      </c>
      <c r="E70" s="42">
        <v>45.0</v>
      </c>
      <c r="F70" s="9"/>
      <c r="G70" s="18" t="s">
        <v>75</v>
      </c>
      <c r="H70" s="23">
        <v>45681.0</v>
      </c>
    </row>
    <row r="71">
      <c r="A71" s="45"/>
      <c r="B71" s="17" t="s">
        <v>209</v>
      </c>
      <c r="C71" s="17" t="s">
        <v>210</v>
      </c>
      <c r="D71" s="18" t="s">
        <v>211</v>
      </c>
      <c r="E71" s="42">
        <v>5.0</v>
      </c>
      <c r="F71" s="18"/>
      <c r="G71" s="18" t="s">
        <v>212</v>
      </c>
      <c r="H71" s="23">
        <v>43843.0</v>
      </c>
    </row>
    <row r="72">
      <c r="A72" s="45"/>
      <c r="B72" s="17" t="s">
        <v>213</v>
      </c>
      <c r="C72" s="17" t="s">
        <v>214</v>
      </c>
      <c r="D72" s="18" t="s">
        <v>215</v>
      </c>
      <c r="E72" s="18">
        <v>62.0</v>
      </c>
      <c r="F72" s="9"/>
      <c r="G72" s="18" t="s">
        <v>75</v>
      </c>
      <c r="H72" s="23">
        <v>43571.0</v>
      </c>
    </row>
    <row r="73">
      <c r="A73" s="45"/>
      <c r="B73" s="22" t="s">
        <v>216</v>
      </c>
      <c r="C73" s="17" t="s">
        <v>217</v>
      </c>
      <c r="D73" s="18" t="s">
        <v>218</v>
      </c>
      <c r="E73" s="18"/>
      <c r="F73" s="18"/>
      <c r="G73" s="18"/>
      <c r="H73" s="23">
        <v>44383.0</v>
      </c>
    </row>
    <row r="74">
      <c r="A74" s="45"/>
      <c r="B74" s="17" t="s">
        <v>219</v>
      </c>
      <c r="C74" s="17" t="s">
        <v>220</v>
      </c>
      <c r="D74" s="18" t="s">
        <v>221</v>
      </c>
      <c r="E74" s="18">
        <v>3.0</v>
      </c>
      <c r="F74" s="18">
        <v>1.0</v>
      </c>
      <c r="G74" s="18" t="s">
        <v>75</v>
      </c>
      <c r="H74" s="23">
        <v>45196.0</v>
      </c>
    </row>
    <row r="75">
      <c r="A75" s="46"/>
      <c r="B75" s="17" t="s">
        <v>222</v>
      </c>
      <c r="C75" s="17" t="s">
        <v>223</v>
      </c>
      <c r="D75" s="18" t="s">
        <v>224</v>
      </c>
      <c r="E75" s="9"/>
      <c r="F75" s="9"/>
      <c r="G75" s="18" t="s">
        <v>75</v>
      </c>
      <c r="H75" s="23">
        <v>43607.0</v>
      </c>
    </row>
    <row r="76">
      <c r="A76" s="46"/>
      <c r="B76" s="17" t="s">
        <v>225</v>
      </c>
      <c r="C76" s="17" t="s">
        <v>226</v>
      </c>
      <c r="D76" s="18" t="s">
        <v>227</v>
      </c>
      <c r="E76" s="18">
        <v>4.0</v>
      </c>
      <c r="F76" s="9"/>
      <c r="G76" s="18" t="s">
        <v>228</v>
      </c>
      <c r="H76" s="23">
        <v>44168.0</v>
      </c>
    </row>
    <row r="77">
      <c r="A77" s="46"/>
      <c r="B77" s="17" t="s">
        <v>229</v>
      </c>
      <c r="C77" s="17" t="s">
        <v>230</v>
      </c>
      <c r="D77" s="18" t="s">
        <v>231</v>
      </c>
      <c r="E77" s="18">
        <v>25.0</v>
      </c>
      <c r="F77" s="9"/>
      <c r="G77" s="18" t="s">
        <v>75</v>
      </c>
      <c r="H77" s="23">
        <v>43676.0</v>
      </c>
    </row>
    <row r="78">
      <c r="A78" s="46"/>
      <c r="B78" s="17" t="s">
        <v>232</v>
      </c>
      <c r="C78" s="47" t="s">
        <v>233</v>
      </c>
      <c r="D78" s="18" t="s">
        <v>234</v>
      </c>
      <c r="E78" s="18">
        <v>4.0</v>
      </c>
      <c r="F78" s="18">
        <v>2.0</v>
      </c>
      <c r="G78" s="18" t="s">
        <v>75</v>
      </c>
      <c r="H78" s="23">
        <v>45912.0</v>
      </c>
    </row>
    <row r="79">
      <c r="A79" s="46"/>
      <c r="B79" s="17" t="s">
        <v>235</v>
      </c>
      <c r="C79" s="17" t="s">
        <v>236</v>
      </c>
      <c r="D79" s="18" t="s">
        <v>237</v>
      </c>
      <c r="E79" s="42">
        <f>52</f>
        <v>52</v>
      </c>
      <c r="F79" s="18">
        <v>6.0</v>
      </c>
      <c r="G79" s="18" t="s">
        <v>75</v>
      </c>
      <c r="H79" s="23">
        <v>45124.0</v>
      </c>
    </row>
    <row r="80">
      <c r="A80" s="46"/>
      <c r="B80" s="48" t="s">
        <v>238</v>
      </c>
      <c r="C80" s="17" t="s">
        <v>239</v>
      </c>
      <c r="D80" s="18" t="s">
        <v>237</v>
      </c>
      <c r="E80" s="18">
        <v>6.0</v>
      </c>
      <c r="F80" s="18">
        <v>3.0</v>
      </c>
      <c r="G80" s="18" t="s">
        <v>75</v>
      </c>
      <c r="H80" s="32">
        <v>46106.59800238426</v>
      </c>
    </row>
    <row r="81">
      <c r="A81" s="46"/>
      <c r="B81" s="16" t="s">
        <v>240</v>
      </c>
      <c r="C81" s="17" t="s">
        <v>241</v>
      </c>
      <c r="D81" s="18" t="s">
        <v>242</v>
      </c>
      <c r="E81" s="18">
        <v>6.0</v>
      </c>
      <c r="F81" s="18"/>
      <c r="G81" s="18"/>
      <c r="H81" s="10">
        <v>45218.0</v>
      </c>
    </row>
    <row r="82">
      <c r="A82" s="46"/>
      <c r="B82" s="16" t="s">
        <v>243</v>
      </c>
      <c r="C82" s="17" t="s">
        <v>244</v>
      </c>
      <c r="D82" s="18" t="s">
        <v>242</v>
      </c>
      <c r="E82" s="18">
        <v>0.0</v>
      </c>
      <c r="F82" s="18"/>
      <c r="G82" s="18"/>
      <c r="H82" s="10"/>
    </row>
    <row r="83">
      <c r="A83" s="46"/>
      <c r="B83" s="17" t="s">
        <v>245</v>
      </c>
      <c r="C83" s="17" t="s">
        <v>246</v>
      </c>
      <c r="D83" s="18"/>
      <c r="E83" s="18">
        <v>3.0</v>
      </c>
      <c r="F83" s="9"/>
      <c r="G83" s="18" t="s">
        <v>75</v>
      </c>
      <c r="H83" s="32">
        <v>46106.59109209491</v>
      </c>
    </row>
    <row r="84">
      <c r="A84" s="46"/>
      <c r="B84" s="8" t="s">
        <v>247</v>
      </c>
      <c r="C84" s="8" t="s">
        <v>248</v>
      </c>
      <c r="D84" s="18" t="s">
        <v>249</v>
      </c>
      <c r="E84" s="9">
        <v>56.0</v>
      </c>
      <c r="F84" s="9"/>
      <c r="G84" s="9" t="s">
        <v>75</v>
      </c>
      <c r="H84" s="14">
        <v>43559.0</v>
      </c>
    </row>
    <row r="85">
      <c r="A85" s="46"/>
      <c r="B85" s="8" t="s">
        <v>250</v>
      </c>
      <c r="C85" s="8" t="s">
        <v>251</v>
      </c>
      <c r="D85" s="9" t="s">
        <v>252</v>
      </c>
      <c r="E85" s="9">
        <v>2.0</v>
      </c>
      <c r="F85" s="9"/>
      <c r="G85" s="9" t="s">
        <v>75</v>
      </c>
      <c r="H85" s="25"/>
    </row>
    <row r="86">
      <c r="A86" s="46"/>
      <c r="B86" s="17" t="s">
        <v>253</v>
      </c>
      <c r="C86" s="17" t="s">
        <v>254</v>
      </c>
      <c r="D86" s="18" t="s">
        <v>255</v>
      </c>
      <c r="E86" s="18">
        <v>38.0</v>
      </c>
      <c r="F86" s="9"/>
      <c r="G86" s="18" t="s">
        <v>75</v>
      </c>
      <c r="H86" s="23">
        <v>43570.0</v>
      </c>
    </row>
    <row r="87">
      <c r="A87" s="46"/>
      <c r="B87" s="17" t="s">
        <v>256</v>
      </c>
      <c r="C87" s="17" t="s">
        <v>257</v>
      </c>
      <c r="D87" s="18" t="s">
        <v>258</v>
      </c>
      <c r="E87" s="18">
        <v>37.0</v>
      </c>
      <c r="F87" s="9"/>
      <c r="G87" s="18" t="s">
        <v>75</v>
      </c>
      <c r="H87" s="35">
        <v>43676.0</v>
      </c>
    </row>
    <row r="88">
      <c r="A88" s="46"/>
      <c r="B88" s="17" t="s">
        <v>259</v>
      </c>
      <c r="C88" s="17" t="s">
        <v>260</v>
      </c>
      <c r="D88" s="18" t="s">
        <v>258</v>
      </c>
      <c r="E88" s="18">
        <v>29.0</v>
      </c>
      <c r="F88" s="9"/>
      <c r="G88" s="18" t="s">
        <v>75</v>
      </c>
      <c r="H88" s="32">
        <v>46106.5817112963</v>
      </c>
    </row>
    <row r="89">
      <c r="A89" s="46"/>
      <c r="B89" s="17" t="s">
        <v>261</v>
      </c>
      <c r="C89" s="17" t="s">
        <v>262</v>
      </c>
      <c r="D89" s="18" t="s">
        <v>255</v>
      </c>
      <c r="E89" s="18">
        <v>3.0</v>
      </c>
      <c r="F89" s="9"/>
      <c r="G89" s="18" t="s">
        <v>75</v>
      </c>
      <c r="H89" s="23">
        <v>43570.0</v>
      </c>
    </row>
    <row r="90">
      <c r="A90" s="46"/>
      <c r="B90" s="17" t="s">
        <v>263</v>
      </c>
      <c r="C90" s="17" t="s">
        <v>264</v>
      </c>
      <c r="D90" s="18" t="s">
        <v>258</v>
      </c>
      <c r="E90" s="42">
        <v>33.0</v>
      </c>
      <c r="F90" s="9"/>
      <c r="G90" s="18" t="s">
        <v>75</v>
      </c>
      <c r="H90" s="32">
        <v>46106.58203106481</v>
      </c>
    </row>
    <row r="91">
      <c r="A91" s="46"/>
      <c r="B91" s="17" t="s">
        <v>265</v>
      </c>
      <c r="C91" s="17" t="s">
        <v>266</v>
      </c>
      <c r="D91" s="18" t="s">
        <v>255</v>
      </c>
      <c r="E91" s="18">
        <v>3.0</v>
      </c>
      <c r="F91" s="9"/>
      <c r="G91" s="18" t="s">
        <v>75</v>
      </c>
      <c r="H91" s="23">
        <v>43570.0</v>
      </c>
    </row>
    <row r="92">
      <c r="A92" s="46"/>
      <c r="B92" s="17" t="s">
        <v>267</v>
      </c>
      <c r="C92" s="17" t="s">
        <v>268</v>
      </c>
      <c r="D92" s="18" t="s">
        <v>258</v>
      </c>
      <c r="E92" s="19">
        <v>26.0</v>
      </c>
      <c r="F92" s="9"/>
      <c r="G92" s="18" t="s">
        <v>75</v>
      </c>
      <c r="H92" s="23">
        <v>43665.0</v>
      </c>
    </row>
    <row r="93">
      <c r="A93" s="46"/>
      <c r="B93" s="17" t="s">
        <v>269</v>
      </c>
      <c r="C93" s="17" t="s">
        <v>270</v>
      </c>
      <c r="D93" s="18" t="s">
        <v>271</v>
      </c>
      <c r="E93" s="18">
        <v>17.0</v>
      </c>
      <c r="F93" s="9"/>
      <c r="G93" s="18" t="s">
        <v>75</v>
      </c>
      <c r="H93" s="23">
        <v>43567.0</v>
      </c>
    </row>
    <row r="94">
      <c r="A94" s="46"/>
      <c r="B94" s="17" t="s">
        <v>272</v>
      </c>
      <c r="C94" s="17" t="s">
        <v>273</v>
      </c>
      <c r="D94" s="18" t="s">
        <v>231</v>
      </c>
      <c r="E94" s="18">
        <v>16.0</v>
      </c>
      <c r="F94" s="9"/>
      <c r="G94" s="18" t="s">
        <v>75</v>
      </c>
      <c r="H94" s="23">
        <v>43588.0</v>
      </c>
    </row>
    <row r="95">
      <c r="A95" s="46"/>
      <c r="B95" s="17" t="s">
        <v>274</v>
      </c>
      <c r="C95" s="17" t="s">
        <v>275</v>
      </c>
      <c r="D95" s="18" t="s">
        <v>276</v>
      </c>
      <c r="E95" s="49">
        <v>10.0</v>
      </c>
      <c r="F95" s="9"/>
      <c r="G95" s="18" t="s">
        <v>75</v>
      </c>
      <c r="H95" s="23">
        <v>43665.0</v>
      </c>
    </row>
    <row r="96">
      <c r="A96" s="46"/>
      <c r="B96" s="17" t="s">
        <v>277</v>
      </c>
      <c r="C96" s="17" t="s">
        <v>278</v>
      </c>
      <c r="D96" s="18" t="s">
        <v>271</v>
      </c>
      <c r="E96" s="49">
        <v>25.0</v>
      </c>
      <c r="F96" s="9"/>
      <c r="G96" s="18" t="s">
        <v>75</v>
      </c>
      <c r="H96" s="23">
        <v>44886.0</v>
      </c>
    </row>
    <row r="97">
      <c r="A97" s="46"/>
      <c r="B97" s="17" t="s">
        <v>279</v>
      </c>
      <c r="C97" s="17" t="s">
        <v>280</v>
      </c>
      <c r="D97" s="18"/>
      <c r="E97" s="50"/>
      <c r="F97" s="9"/>
      <c r="G97" s="18" t="s">
        <v>75</v>
      </c>
      <c r="H97" s="23">
        <v>43567.0</v>
      </c>
    </row>
    <row r="98">
      <c r="A98" s="46"/>
      <c r="B98" s="17" t="s">
        <v>281</v>
      </c>
      <c r="C98" s="17" t="s">
        <v>282</v>
      </c>
      <c r="D98" s="18" t="s">
        <v>283</v>
      </c>
      <c r="E98" s="18">
        <v>150.0</v>
      </c>
      <c r="F98" s="9"/>
      <c r="G98" s="18" t="s">
        <v>75</v>
      </c>
      <c r="H98" s="23">
        <v>43630.0</v>
      </c>
    </row>
    <row r="99">
      <c r="A99" s="46"/>
      <c r="B99" s="17" t="s">
        <v>284</v>
      </c>
      <c r="C99" s="17" t="s">
        <v>285</v>
      </c>
      <c r="D99" s="18" t="s">
        <v>283</v>
      </c>
      <c r="E99" s="18">
        <v>107.0</v>
      </c>
      <c r="F99" s="9"/>
      <c r="G99" s="18" t="s">
        <v>75</v>
      </c>
      <c r="H99" s="32">
        <v>46106.58525421296</v>
      </c>
    </row>
    <row r="100">
      <c r="A100" s="46"/>
      <c r="B100" s="17" t="s">
        <v>286</v>
      </c>
      <c r="C100" s="17" t="s">
        <v>287</v>
      </c>
      <c r="D100" s="18" t="s">
        <v>283</v>
      </c>
      <c r="E100" s="18">
        <v>150.0</v>
      </c>
      <c r="F100" s="9"/>
      <c r="G100" s="18" t="s">
        <v>75</v>
      </c>
      <c r="H100" s="23">
        <v>43630.0</v>
      </c>
    </row>
    <row r="101">
      <c r="A101" s="46"/>
      <c r="B101" s="17" t="s">
        <v>288</v>
      </c>
      <c r="C101" s="17" t="s">
        <v>289</v>
      </c>
      <c r="D101" s="18" t="s">
        <v>290</v>
      </c>
      <c r="E101" s="18"/>
      <c r="F101" s="9"/>
      <c r="G101" s="18" t="s">
        <v>75</v>
      </c>
      <c r="H101" s="23">
        <v>43567.0</v>
      </c>
    </row>
    <row r="102">
      <c r="A102" s="46"/>
      <c r="B102" s="17" t="s">
        <v>291</v>
      </c>
      <c r="C102" s="17" t="s">
        <v>292</v>
      </c>
      <c r="D102" s="18" t="s">
        <v>276</v>
      </c>
      <c r="E102" s="18">
        <v>2.0</v>
      </c>
      <c r="F102" s="9"/>
      <c r="G102" s="18" t="s">
        <v>75</v>
      </c>
      <c r="H102" s="23">
        <v>43580.0</v>
      </c>
    </row>
    <row r="103">
      <c r="A103" s="46"/>
      <c r="B103" s="17" t="s">
        <v>293</v>
      </c>
      <c r="C103" s="17" t="s">
        <v>294</v>
      </c>
      <c r="D103" s="18" t="s">
        <v>283</v>
      </c>
      <c r="E103" s="18">
        <v>180.0</v>
      </c>
      <c r="F103" s="9"/>
      <c r="G103" s="18" t="s">
        <v>75</v>
      </c>
      <c r="H103" s="32">
        <v>46106.585652511574</v>
      </c>
    </row>
    <row r="104">
      <c r="A104" s="46"/>
      <c r="B104" s="17" t="s">
        <v>295</v>
      </c>
      <c r="C104" s="17" t="s">
        <v>296</v>
      </c>
      <c r="D104" s="18" t="s">
        <v>283</v>
      </c>
      <c r="E104" s="18"/>
      <c r="F104" s="18"/>
      <c r="G104" s="18"/>
      <c r="H104" s="23"/>
    </row>
    <row r="105">
      <c r="A105" s="46"/>
      <c r="B105" s="17" t="s">
        <v>297</v>
      </c>
      <c r="C105" s="17" t="s">
        <v>298</v>
      </c>
      <c r="D105" s="18" t="s">
        <v>283</v>
      </c>
      <c r="E105" s="42">
        <v>0.0</v>
      </c>
      <c r="F105" s="18"/>
      <c r="G105" s="18" t="s">
        <v>75</v>
      </c>
      <c r="H105" s="23">
        <v>43931.0</v>
      </c>
    </row>
    <row r="106">
      <c r="A106" s="46"/>
      <c r="B106" s="17" t="s">
        <v>299</v>
      </c>
      <c r="C106" s="17" t="s">
        <v>300</v>
      </c>
      <c r="D106" s="18" t="s">
        <v>283</v>
      </c>
      <c r="E106" s="18"/>
      <c r="F106" s="18"/>
      <c r="G106" s="18"/>
      <c r="H106" s="23"/>
    </row>
    <row r="107">
      <c r="A107" s="46"/>
      <c r="B107" s="17" t="s">
        <v>301</v>
      </c>
      <c r="C107" s="17" t="s">
        <v>302</v>
      </c>
      <c r="D107" s="18" t="s">
        <v>283</v>
      </c>
      <c r="E107" s="18"/>
      <c r="F107" s="18"/>
      <c r="G107" s="18"/>
      <c r="H107" s="23"/>
    </row>
    <row r="108">
      <c r="A108" s="46"/>
      <c r="B108" s="17" t="s">
        <v>303</v>
      </c>
      <c r="C108" s="51" t="s">
        <v>304</v>
      </c>
      <c r="D108" s="18" t="s">
        <v>283</v>
      </c>
      <c r="E108" s="42">
        <v>37.0</v>
      </c>
      <c r="F108" s="18"/>
      <c r="G108" s="18" t="s">
        <v>75</v>
      </c>
      <c r="H108" s="23">
        <v>43931.0</v>
      </c>
    </row>
    <row r="109">
      <c r="A109" s="46"/>
      <c r="B109" s="17" t="s">
        <v>305</v>
      </c>
      <c r="C109" s="17" t="s">
        <v>306</v>
      </c>
      <c r="D109" s="18" t="s">
        <v>224</v>
      </c>
      <c r="E109" s="18">
        <v>15.0</v>
      </c>
      <c r="F109" s="18"/>
      <c r="G109" s="18" t="s">
        <v>75</v>
      </c>
      <c r="H109" s="23">
        <v>43621.0</v>
      </c>
    </row>
    <row r="110">
      <c r="A110" s="46"/>
      <c r="B110" s="17" t="s">
        <v>307</v>
      </c>
      <c r="C110" s="52" t="s">
        <v>308</v>
      </c>
      <c r="D110" s="18" t="s">
        <v>283</v>
      </c>
      <c r="E110" s="18">
        <v>280.0</v>
      </c>
      <c r="F110" s="9"/>
      <c r="G110" s="18" t="s">
        <v>75</v>
      </c>
      <c r="H110" s="32">
        <v>46106.57352104167</v>
      </c>
      <c r="I110" s="11" t="s">
        <v>309</v>
      </c>
    </row>
    <row r="111">
      <c r="A111" s="46"/>
      <c r="B111" s="17" t="s">
        <v>310</v>
      </c>
      <c r="C111" s="52" t="s">
        <v>311</v>
      </c>
      <c r="D111" s="18" t="s">
        <v>171</v>
      </c>
      <c r="E111" s="18">
        <v>6.0</v>
      </c>
      <c r="F111" s="9"/>
      <c r="G111" s="18" t="s">
        <v>75</v>
      </c>
      <c r="H111" s="23">
        <v>43700.0</v>
      </c>
    </row>
    <row r="112">
      <c r="A112" s="46"/>
      <c r="B112" s="17" t="s">
        <v>312</v>
      </c>
      <c r="C112" s="11" t="s">
        <v>313</v>
      </c>
      <c r="D112" s="18" t="s">
        <v>314</v>
      </c>
      <c r="E112" s="18">
        <v>258.0</v>
      </c>
      <c r="F112" s="9"/>
      <c r="G112" s="18" t="s">
        <v>75</v>
      </c>
      <c r="H112" s="32">
        <v>46156.41592422454</v>
      </c>
    </row>
    <row r="113">
      <c r="A113" s="46"/>
      <c r="B113" s="17" t="s">
        <v>315</v>
      </c>
      <c r="C113" s="17" t="s">
        <v>316</v>
      </c>
      <c r="D113" s="18" t="s">
        <v>231</v>
      </c>
      <c r="E113" s="18">
        <f>22-2</f>
        <v>20</v>
      </c>
      <c r="F113" s="9"/>
      <c r="G113" s="18" t="s">
        <v>75</v>
      </c>
      <c r="H113" s="23">
        <v>43577.0</v>
      </c>
    </row>
    <row r="114">
      <c r="A114" s="46"/>
      <c r="B114" s="17" t="s">
        <v>317</v>
      </c>
      <c r="C114" s="17" t="s">
        <v>318</v>
      </c>
      <c r="D114" s="18" t="s">
        <v>231</v>
      </c>
      <c r="E114" s="18">
        <v>14.0</v>
      </c>
      <c r="F114" s="9"/>
      <c r="G114" s="18" t="s">
        <v>75</v>
      </c>
      <c r="H114" s="23">
        <v>43676.0</v>
      </c>
    </row>
    <row r="115">
      <c r="A115" s="46"/>
      <c r="B115" s="17" t="s">
        <v>319</v>
      </c>
      <c r="C115" s="53" t="s">
        <v>320</v>
      </c>
      <c r="D115" s="18" t="s">
        <v>283</v>
      </c>
      <c r="E115" s="18">
        <v>180.0</v>
      </c>
      <c r="F115" s="9"/>
      <c r="G115" s="18" t="s">
        <v>75</v>
      </c>
      <c r="H115" s="32">
        <v>46106.59094675926</v>
      </c>
    </row>
    <row r="116">
      <c r="A116" s="46"/>
      <c r="B116" s="17" t="s">
        <v>321</v>
      </c>
      <c r="C116" s="17" t="s">
        <v>322</v>
      </c>
      <c r="D116" s="18" t="s">
        <v>290</v>
      </c>
      <c r="E116" s="18">
        <v>52.0</v>
      </c>
      <c r="F116" s="9"/>
      <c r="G116" s="18" t="s">
        <v>75</v>
      </c>
      <c r="H116" s="23">
        <v>43676.0</v>
      </c>
    </row>
    <row r="117">
      <c r="A117" s="45"/>
      <c r="B117" s="17" t="s">
        <v>323</v>
      </c>
      <c r="C117" s="51" t="s">
        <v>324</v>
      </c>
      <c r="D117" s="18" t="s">
        <v>224</v>
      </c>
      <c r="E117" s="18">
        <v>28.0</v>
      </c>
      <c r="F117" s="9"/>
      <c r="G117" s="9"/>
      <c r="H117" s="23"/>
    </row>
    <row r="118">
      <c r="A118" s="45"/>
      <c r="B118" s="17" t="s">
        <v>325</v>
      </c>
      <c r="C118" s="17" t="s">
        <v>326</v>
      </c>
      <c r="D118" s="18" t="s">
        <v>327</v>
      </c>
      <c r="E118" s="18">
        <v>108.0</v>
      </c>
      <c r="F118" s="9"/>
      <c r="G118" s="18" t="s">
        <v>75</v>
      </c>
      <c r="H118" s="23">
        <v>43571.0</v>
      </c>
    </row>
    <row r="119">
      <c r="A119" s="46"/>
      <c r="B119" s="17" t="s">
        <v>328</v>
      </c>
      <c r="C119" s="17" t="s">
        <v>278</v>
      </c>
      <c r="D119" s="18" t="s">
        <v>271</v>
      </c>
      <c r="E119" s="18">
        <v>47.0</v>
      </c>
      <c r="F119" s="9"/>
      <c r="G119" s="18" t="s">
        <v>75</v>
      </c>
      <c r="H119" s="32">
        <v>46106.59742936342</v>
      </c>
    </row>
    <row r="120">
      <c r="A120" s="46"/>
      <c r="B120" s="17" t="s">
        <v>329</v>
      </c>
      <c r="C120" s="17" t="s">
        <v>330</v>
      </c>
      <c r="D120" s="18" t="s">
        <v>331</v>
      </c>
      <c r="E120" s="42">
        <v>0.0</v>
      </c>
      <c r="F120" s="9"/>
      <c r="G120" s="18" t="s">
        <v>75</v>
      </c>
      <c r="H120" s="23">
        <v>43580.0</v>
      </c>
    </row>
    <row r="121">
      <c r="A121" s="45"/>
      <c r="B121" s="17" t="s">
        <v>329</v>
      </c>
      <c r="C121" s="17" t="s">
        <v>332</v>
      </c>
      <c r="D121" s="18" t="s">
        <v>237</v>
      </c>
      <c r="E121" s="42">
        <v>48.0</v>
      </c>
      <c r="F121" s="9"/>
      <c r="G121" s="18" t="s">
        <v>75</v>
      </c>
      <c r="H121" s="32">
        <v>46106.60983244213</v>
      </c>
    </row>
    <row r="122">
      <c r="A122" s="45"/>
      <c r="B122" s="17" t="s">
        <v>333</v>
      </c>
      <c r="C122" s="17" t="s">
        <v>334</v>
      </c>
      <c r="D122" s="18" t="s">
        <v>237</v>
      </c>
      <c r="E122" s="18">
        <v>26.0</v>
      </c>
      <c r="F122" s="9"/>
      <c r="G122" s="18" t="s">
        <v>75</v>
      </c>
      <c r="H122" s="23">
        <v>43566.0</v>
      </c>
    </row>
    <row r="123">
      <c r="A123" s="45"/>
      <c r="B123" s="17" t="s">
        <v>335</v>
      </c>
      <c r="C123" s="17" t="s">
        <v>336</v>
      </c>
      <c r="D123" s="18" t="s">
        <v>237</v>
      </c>
      <c r="E123" s="18">
        <v>101.0</v>
      </c>
      <c r="F123" s="9"/>
      <c r="G123" s="18" t="s">
        <v>75</v>
      </c>
      <c r="H123" s="32">
        <v>46106.61375078704</v>
      </c>
    </row>
    <row r="124">
      <c r="A124" s="45"/>
      <c r="B124" s="17" t="s">
        <v>337</v>
      </c>
      <c r="C124" s="17" t="s">
        <v>338</v>
      </c>
      <c r="D124" s="18" t="s">
        <v>339</v>
      </c>
      <c r="E124" s="42">
        <v>2.0</v>
      </c>
      <c r="F124" s="9"/>
      <c r="G124" s="18" t="s">
        <v>75</v>
      </c>
      <c r="H124" s="54">
        <v>43700.0</v>
      </c>
    </row>
    <row r="125">
      <c r="A125" s="45"/>
      <c r="B125" s="17" t="s">
        <v>340</v>
      </c>
      <c r="C125" s="17" t="s">
        <v>341</v>
      </c>
      <c r="D125" s="18" t="s">
        <v>342</v>
      </c>
      <c r="E125" s="18">
        <v>71.0</v>
      </c>
      <c r="F125" s="9"/>
      <c r="G125" s="18" t="s">
        <v>75</v>
      </c>
      <c r="H125" s="23">
        <v>43570.0</v>
      </c>
    </row>
    <row r="126">
      <c r="A126" s="46"/>
      <c r="B126" s="17" t="s">
        <v>343</v>
      </c>
      <c r="C126" s="17" t="s">
        <v>344</v>
      </c>
      <c r="D126" s="18" t="s">
        <v>231</v>
      </c>
      <c r="E126" s="18">
        <v>28.0</v>
      </c>
      <c r="F126" s="9"/>
      <c r="G126" s="18" t="s">
        <v>75</v>
      </c>
      <c r="H126" s="23">
        <v>43676.0</v>
      </c>
    </row>
    <row r="127">
      <c r="A127" s="46"/>
      <c r="B127" s="17" t="s">
        <v>345</v>
      </c>
      <c r="C127" s="52" t="s">
        <v>346</v>
      </c>
      <c r="D127" s="18" t="s">
        <v>231</v>
      </c>
      <c r="E127" s="42">
        <v>12.0</v>
      </c>
      <c r="F127" s="9"/>
      <c r="G127" s="18" t="s">
        <v>75</v>
      </c>
      <c r="H127" s="23">
        <v>43570.0</v>
      </c>
    </row>
    <row r="128">
      <c r="A128" s="46"/>
      <c r="B128" s="17" t="s">
        <v>347</v>
      </c>
      <c r="C128" s="11" t="s">
        <v>348</v>
      </c>
      <c r="D128" s="18" t="s">
        <v>231</v>
      </c>
      <c r="E128" s="18">
        <v>23.0</v>
      </c>
      <c r="F128" s="9"/>
      <c r="G128" s="18" t="s">
        <v>75</v>
      </c>
      <c r="H128" s="23">
        <v>43676.0</v>
      </c>
    </row>
    <row r="129">
      <c r="A129" s="46"/>
      <c r="B129" s="16" t="s">
        <v>349</v>
      </c>
      <c r="C129" s="17" t="s">
        <v>350</v>
      </c>
      <c r="D129" s="18" t="s">
        <v>131</v>
      </c>
      <c r="E129" s="18">
        <v>8.0</v>
      </c>
      <c r="F129" s="18"/>
      <c r="G129" s="18"/>
      <c r="H129" s="10">
        <v>44299.0</v>
      </c>
    </row>
    <row r="130">
      <c r="A130" s="46"/>
      <c r="B130" s="16" t="s">
        <v>349</v>
      </c>
      <c r="C130" s="17" t="s">
        <v>351</v>
      </c>
      <c r="D130" s="18" t="s">
        <v>352</v>
      </c>
      <c r="E130" s="18">
        <v>0.0</v>
      </c>
      <c r="F130" s="18"/>
      <c r="G130" s="18"/>
      <c r="H130" s="10">
        <v>44817.0</v>
      </c>
    </row>
    <row r="131">
      <c r="A131" s="46"/>
      <c r="B131" s="8" t="s">
        <v>349</v>
      </c>
      <c r="C131" s="17" t="s">
        <v>353</v>
      </c>
      <c r="D131" s="18" t="s">
        <v>354</v>
      </c>
      <c r="E131" s="18">
        <v>150.0</v>
      </c>
      <c r="F131" s="18"/>
      <c r="G131" s="18" t="s">
        <v>355</v>
      </c>
      <c r="H131" s="23">
        <v>44817.0</v>
      </c>
    </row>
    <row r="132">
      <c r="A132" s="46"/>
      <c r="B132" s="17" t="s">
        <v>356</v>
      </c>
      <c r="C132" s="17" t="s">
        <v>357</v>
      </c>
      <c r="D132" s="18" t="s">
        <v>358</v>
      </c>
      <c r="E132" s="18">
        <v>6.0</v>
      </c>
      <c r="F132" s="18"/>
      <c r="G132" s="18" t="s">
        <v>75</v>
      </c>
      <c r="H132" s="23">
        <v>44168.0</v>
      </c>
    </row>
    <row r="133">
      <c r="A133" s="46"/>
      <c r="B133" s="17" t="s">
        <v>356</v>
      </c>
      <c r="C133" s="17" t="s">
        <v>359</v>
      </c>
      <c r="D133" s="18" t="s">
        <v>360</v>
      </c>
      <c r="E133" s="18">
        <v>7.0</v>
      </c>
      <c r="F133" s="18"/>
      <c r="G133" s="18" t="s">
        <v>75</v>
      </c>
      <c r="H133" s="23">
        <v>45680.0</v>
      </c>
    </row>
    <row r="134">
      <c r="A134" s="46"/>
      <c r="B134" s="17" t="s">
        <v>361</v>
      </c>
      <c r="C134" s="17" t="s">
        <v>362</v>
      </c>
      <c r="D134" s="18" t="s">
        <v>363</v>
      </c>
      <c r="E134" s="42">
        <f>11-1</f>
        <v>10</v>
      </c>
      <c r="F134" s="18">
        <v>3.0</v>
      </c>
      <c r="G134" s="18" t="s">
        <v>75</v>
      </c>
      <c r="H134" s="32">
        <v>46008.537140775465</v>
      </c>
    </row>
    <row r="135">
      <c r="A135" s="46"/>
      <c r="B135" s="17" t="s">
        <v>361</v>
      </c>
      <c r="C135" s="17" t="s">
        <v>362</v>
      </c>
      <c r="D135" s="18" t="s">
        <v>231</v>
      </c>
      <c r="E135" s="42">
        <v>24.0</v>
      </c>
      <c r="F135" s="18"/>
      <c r="G135" s="18" t="s">
        <v>75</v>
      </c>
      <c r="H135" s="23">
        <v>44400.0</v>
      </c>
    </row>
    <row r="136">
      <c r="A136" s="46"/>
      <c r="B136" s="17" t="s">
        <v>364</v>
      </c>
      <c r="C136" s="17" t="s">
        <v>365</v>
      </c>
      <c r="D136" s="18" t="s">
        <v>366</v>
      </c>
      <c r="E136" s="55">
        <f>4</f>
        <v>4</v>
      </c>
      <c r="F136" s="18">
        <v>4.0</v>
      </c>
      <c r="G136" s="18" t="s">
        <v>75</v>
      </c>
      <c r="H136" s="32">
        <v>46139.483831087964</v>
      </c>
    </row>
    <row r="137">
      <c r="A137" s="46"/>
      <c r="B137" s="17" t="s">
        <v>367</v>
      </c>
      <c r="C137" s="17" t="s">
        <v>368</v>
      </c>
      <c r="D137" s="18" t="s">
        <v>369</v>
      </c>
      <c r="E137" s="18">
        <f>16+3</f>
        <v>19</v>
      </c>
      <c r="F137" s="18">
        <v>5.0</v>
      </c>
      <c r="G137" s="18" t="s">
        <v>75</v>
      </c>
      <c r="H137" s="32">
        <v>45951.532644872685</v>
      </c>
    </row>
    <row r="138">
      <c r="A138" s="46"/>
      <c r="B138" s="17" t="s">
        <v>370</v>
      </c>
      <c r="C138" s="11" t="s">
        <v>371</v>
      </c>
      <c r="D138" s="18" t="s">
        <v>372</v>
      </c>
      <c r="E138" s="18">
        <v>48.0</v>
      </c>
      <c r="F138" s="18">
        <v>5.0</v>
      </c>
      <c r="G138" s="18" t="s">
        <v>75</v>
      </c>
      <c r="H138" s="23">
        <v>44909.0</v>
      </c>
    </row>
    <row r="139">
      <c r="A139" s="46"/>
      <c r="B139" s="17" t="s">
        <v>370</v>
      </c>
      <c r="C139" s="17" t="s">
        <v>373</v>
      </c>
      <c r="D139" s="18" t="s">
        <v>374</v>
      </c>
      <c r="E139" s="18">
        <v>32.0</v>
      </c>
      <c r="F139" s="18">
        <v>5.0</v>
      </c>
      <c r="G139" s="18" t="s">
        <v>75</v>
      </c>
      <c r="H139" s="23">
        <v>44893.0</v>
      </c>
    </row>
    <row r="140">
      <c r="A140" s="46"/>
      <c r="B140" s="17" t="s">
        <v>370</v>
      </c>
      <c r="C140" s="17" t="s">
        <v>373</v>
      </c>
      <c r="D140" s="18" t="s">
        <v>375</v>
      </c>
      <c r="E140" s="18">
        <v>31.0</v>
      </c>
      <c r="F140" s="18">
        <v>5.0</v>
      </c>
      <c r="G140" s="18" t="s">
        <v>75</v>
      </c>
      <c r="H140" s="23">
        <v>44893.0</v>
      </c>
    </row>
    <row r="141">
      <c r="A141" s="46"/>
      <c r="B141" s="17" t="s">
        <v>376</v>
      </c>
      <c r="C141" s="17" t="s">
        <v>377</v>
      </c>
      <c r="D141" s="18" t="s">
        <v>378</v>
      </c>
      <c r="E141" s="18">
        <v>25.0</v>
      </c>
      <c r="F141" s="18">
        <v>5.0</v>
      </c>
      <c r="G141" s="18" t="s">
        <v>75</v>
      </c>
      <c r="H141" s="32">
        <v>46001.47978634259</v>
      </c>
    </row>
    <row r="142">
      <c r="A142" s="46"/>
      <c r="B142" s="17" t="s">
        <v>379</v>
      </c>
      <c r="C142" s="17" t="s">
        <v>380</v>
      </c>
      <c r="D142" s="18" t="s">
        <v>381</v>
      </c>
      <c r="E142" s="18">
        <v>30.0</v>
      </c>
      <c r="F142" s="18"/>
      <c r="G142" s="18" t="s">
        <v>75</v>
      </c>
      <c r="H142" s="32">
        <v>45951.34389193287</v>
      </c>
    </row>
    <row r="143">
      <c r="A143" s="46"/>
      <c r="B143" s="17" t="s">
        <v>382</v>
      </c>
      <c r="C143" s="17" t="s">
        <v>383</v>
      </c>
      <c r="D143" s="18" t="s">
        <v>358</v>
      </c>
      <c r="E143" s="18">
        <v>28.0</v>
      </c>
      <c r="F143" s="18"/>
      <c r="G143" s="18" t="s">
        <v>75</v>
      </c>
      <c r="H143" s="32">
        <v>45951.341014895836</v>
      </c>
    </row>
    <row r="144">
      <c r="A144" s="46"/>
      <c r="B144" s="17" t="s">
        <v>382</v>
      </c>
      <c r="C144" s="17" t="s">
        <v>383</v>
      </c>
      <c r="D144" s="18" t="s">
        <v>384</v>
      </c>
      <c r="E144" s="18">
        <v>1.0</v>
      </c>
      <c r="F144" s="9"/>
      <c r="G144" s="18" t="s">
        <v>75</v>
      </c>
      <c r="H144" s="23">
        <v>44391.0</v>
      </c>
    </row>
    <row r="145">
      <c r="A145" s="46"/>
      <c r="B145" s="17" t="s">
        <v>385</v>
      </c>
      <c r="C145" s="17" t="s">
        <v>386</v>
      </c>
      <c r="D145" s="18" t="s">
        <v>387</v>
      </c>
      <c r="E145" s="18">
        <v>45.0</v>
      </c>
      <c r="F145" s="18"/>
      <c r="G145" s="18" t="s">
        <v>75</v>
      </c>
      <c r="H145" s="23">
        <v>45681.0</v>
      </c>
    </row>
    <row r="146">
      <c r="A146" s="46"/>
      <c r="B146" s="17" t="s">
        <v>385</v>
      </c>
      <c r="C146" s="11" t="s">
        <v>386</v>
      </c>
      <c r="D146" s="18" t="s">
        <v>358</v>
      </c>
      <c r="E146" s="18">
        <v>30.0</v>
      </c>
      <c r="F146" s="18"/>
      <c r="G146" s="18" t="s">
        <v>75</v>
      </c>
      <c r="H146" s="23">
        <v>44883.0</v>
      </c>
    </row>
    <row r="147">
      <c r="A147" s="45"/>
      <c r="B147" s="17" t="s">
        <v>388</v>
      </c>
      <c r="C147" s="17" t="s">
        <v>389</v>
      </c>
      <c r="D147" s="18" t="s">
        <v>390</v>
      </c>
      <c r="E147" s="18">
        <v>20.0</v>
      </c>
      <c r="F147" s="18">
        <v>5.0</v>
      </c>
      <c r="G147" s="18" t="s">
        <v>75</v>
      </c>
      <c r="H147" s="32">
        <v>46031.46012945602</v>
      </c>
    </row>
    <row r="148">
      <c r="A148" s="45"/>
      <c r="B148" s="17" t="s">
        <v>391</v>
      </c>
      <c r="C148" s="17" t="s">
        <v>392</v>
      </c>
      <c r="D148" s="18" t="s">
        <v>393</v>
      </c>
      <c r="E148" s="18">
        <v>11.0</v>
      </c>
      <c r="F148" s="9"/>
      <c r="G148" s="18" t="s">
        <v>75</v>
      </c>
      <c r="H148" s="23">
        <v>44168.0</v>
      </c>
    </row>
    <row r="149">
      <c r="A149" s="45"/>
      <c r="B149" s="17" t="s">
        <v>394</v>
      </c>
      <c r="C149" s="17" t="s">
        <v>395</v>
      </c>
      <c r="D149" s="18" t="s">
        <v>396</v>
      </c>
      <c r="E149" s="18">
        <v>4.0</v>
      </c>
      <c r="F149" s="9"/>
      <c r="G149" s="18" t="s">
        <v>75</v>
      </c>
      <c r="H149" s="23">
        <v>45681.0</v>
      </c>
    </row>
    <row r="150">
      <c r="A150" s="45"/>
      <c r="B150" s="17" t="s">
        <v>397</v>
      </c>
      <c r="C150" s="47" t="s">
        <v>398</v>
      </c>
      <c r="D150" s="18" t="s">
        <v>399</v>
      </c>
      <c r="E150" s="18">
        <v>0.0</v>
      </c>
      <c r="F150" s="18"/>
      <c r="G150" s="18" t="s">
        <v>75</v>
      </c>
      <c r="H150" s="32">
        <v>46115.415509976854</v>
      </c>
    </row>
    <row r="151">
      <c r="A151" s="46"/>
      <c r="B151" s="17" t="s">
        <v>400</v>
      </c>
      <c r="C151" s="17" t="s">
        <v>398</v>
      </c>
      <c r="D151" s="18" t="s">
        <v>401</v>
      </c>
      <c r="E151" s="42">
        <v>1.0</v>
      </c>
      <c r="F151" s="18">
        <v>3.0</v>
      </c>
      <c r="G151" s="18" t="s">
        <v>75</v>
      </c>
      <c r="H151" s="32">
        <v>46008.53648436343</v>
      </c>
    </row>
    <row r="152">
      <c r="A152" s="46"/>
      <c r="B152" s="17" t="s">
        <v>402</v>
      </c>
      <c r="C152" s="8" t="s">
        <v>403</v>
      </c>
      <c r="D152" s="18" t="s">
        <v>404</v>
      </c>
      <c r="E152" s="56">
        <v>0.0</v>
      </c>
      <c r="F152" s="9"/>
      <c r="G152" s="9" t="s">
        <v>75</v>
      </c>
      <c r="H152" s="23">
        <v>45153.0</v>
      </c>
    </row>
    <row r="153">
      <c r="A153" s="46"/>
      <c r="B153" s="17" t="s">
        <v>405</v>
      </c>
      <c r="C153" s="8" t="s">
        <v>406</v>
      </c>
      <c r="D153" s="9" t="s">
        <v>407</v>
      </c>
      <c r="E153" s="9">
        <v>64.0</v>
      </c>
      <c r="F153" s="9"/>
      <c r="G153" s="9" t="s">
        <v>355</v>
      </c>
      <c r="H153" s="23">
        <v>41698.0</v>
      </c>
    </row>
    <row r="154">
      <c r="A154" s="46"/>
      <c r="B154" s="16" t="s">
        <v>408</v>
      </c>
      <c r="C154" s="17" t="s">
        <v>409</v>
      </c>
      <c r="D154" s="18" t="s">
        <v>410</v>
      </c>
      <c r="E154" s="18">
        <v>3.0</v>
      </c>
      <c r="F154" s="9"/>
      <c r="G154" s="18"/>
      <c r="H154" s="10">
        <v>43594.0</v>
      </c>
    </row>
    <row r="155">
      <c r="A155" s="45"/>
      <c r="B155" s="17" t="s">
        <v>411</v>
      </c>
      <c r="C155" s="17" t="s">
        <v>412</v>
      </c>
      <c r="D155" s="18" t="s">
        <v>413</v>
      </c>
      <c r="E155" s="18">
        <v>9.0</v>
      </c>
      <c r="F155" s="9"/>
      <c r="G155" s="18" t="s">
        <v>414</v>
      </c>
      <c r="H155" s="23">
        <v>43937.0</v>
      </c>
      <c r="I155" s="11"/>
    </row>
    <row r="156">
      <c r="A156" s="46"/>
      <c r="B156" s="17" t="s">
        <v>415</v>
      </c>
      <c r="C156" s="17" t="s">
        <v>416</v>
      </c>
      <c r="D156" s="18" t="s">
        <v>417</v>
      </c>
      <c r="E156" s="18">
        <v>30.0</v>
      </c>
      <c r="F156" s="18">
        <v>6.0</v>
      </c>
      <c r="G156" s="18" t="s">
        <v>75</v>
      </c>
      <c r="H156" s="23">
        <v>44839.0</v>
      </c>
    </row>
    <row r="157">
      <c r="A157" s="45"/>
      <c r="B157" s="17" t="s">
        <v>418</v>
      </c>
      <c r="C157" s="17" t="s">
        <v>419</v>
      </c>
      <c r="D157" s="18" t="s">
        <v>420</v>
      </c>
      <c r="E157" s="18">
        <v>22.0</v>
      </c>
      <c r="F157" s="18">
        <v>6.0</v>
      </c>
      <c r="G157" s="18" t="s">
        <v>75</v>
      </c>
      <c r="H157" s="23">
        <v>45259.0</v>
      </c>
    </row>
    <row r="158">
      <c r="B158" s="17" t="s">
        <v>421</v>
      </c>
      <c r="C158" s="17" t="s">
        <v>422</v>
      </c>
      <c r="D158" s="18" t="s">
        <v>423</v>
      </c>
      <c r="E158" s="18">
        <f>6</f>
        <v>6</v>
      </c>
      <c r="F158" s="18">
        <v>2.0</v>
      </c>
      <c r="G158" s="18" t="s">
        <v>75</v>
      </c>
      <c r="H158" s="23">
        <v>45189.0</v>
      </c>
    </row>
    <row r="159">
      <c r="A159" s="46"/>
      <c r="B159" s="16" t="s">
        <v>424</v>
      </c>
      <c r="C159" s="17" t="s">
        <v>425</v>
      </c>
      <c r="D159" s="18" t="s">
        <v>426</v>
      </c>
      <c r="E159" s="56">
        <v>0.0</v>
      </c>
      <c r="F159" s="18">
        <v>2.0</v>
      </c>
      <c r="G159" s="18" t="s">
        <v>75</v>
      </c>
      <c r="H159" s="23">
        <v>45371.0</v>
      </c>
    </row>
    <row r="160">
      <c r="A160" s="46"/>
      <c r="B160" s="17" t="s">
        <v>427</v>
      </c>
      <c r="C160" s="17" t="s">
        <v>428</v>
      </c>
      <c r="D160" s="18" t="s">
        <v>426</v>
      </c>
      <c r="E160" s="18">
        <v>6.0</v>
      </c>
      <c r="F160" s="18">
        <v>6.0</v>
      </c>
      <c r="G160" s="18" t="s">
        <v>75</v>
      </c>
      <c r="H160" s="23">
        <v>44392.0</v>
      </c>
    </row>
    <row r="161">
      <c r="A161" s="46"/>
      <c r="B161" s="17" t="s">
        <v>429</v>
      </c>
      <c r="C161" s="17" t="s">
        <v>430</v>
      </c>
      <c r="D161" s="18" t="s">
        <v>431</v>
      </c>
      <c r="E161" s="18" t="s">
        <v>37</v>
      </c>
      <c r="F161" s="18"/>
      <c r="G161" s="18" t="s">
        <v>430</v>
      </c>
      <c r="H161" s="23">
        <v>44722.0</v>
      </c>
    </row>
    <row r="162">
      <c r="A162" s="46"/>
      <c r="B162" s="16" t="s">
        <v>432</v>
      </c>
      <c r="C162" s="17" t="s">
        <v>433</v>
      </c>
      <c r="D162" s="18" t="s">
        <v>434</v>
      </c>
      <c r="E162" s="18">
        <v>34.0</v>
      </c>
      <c r="F162" s="9"/>
      <c r="G162" s="18" t="s">
        <v>75</v>
      </c>
      <c r="H162" s="10">
        <v>43594.0</v>
      </c>
    </row>
    <row r="163">
      <c r="A163" s="46"/>
      <c r="B163" s="8" t="s">
        <v>435</v>
      </c>
      <c r="C163" s="8" t="s">
        <v>436</v>
      </c>
      <c r="D163" s="9" t="s">
        <v>437</v>
      </c>
      <c r="E163" s="9">
        <v>10.0</v>
      </c>
      <c r="F163" s="9"/>
      <c r="G163" s="9" t="s">
        <v>75</v>
      </c>
      <c r="H163" s="23">
        <v>41471.0</v>
      </c>
    </row>
    <row r="164">
      <c r="A164" s="46"/>
      <c r="B164" s="17" t="s">
        <v>438</v>
      </c>
      <c r="C164" s="57" t="s">
        <v>439</v>
      </c>
      <c r="D164" s="18" t="s">
        <v>440</v>
      </c>
      <c r="E164" s="18">
        <v>1.0</v>
      </c>
      <c r="F164" s="9"/>
      <c r="G164" s="18" t="s">
        <v>75</v>
      </c>
      <c r="H164" s="14">
        <v>43560.0</v>
      </c>
    </row>
    <row r="165">
      <c r="A165" s="46"/>
      <c r="B165" s="8" t="s">
        <v>438</v>
      </c>
      <c r="C165" s="8" t="s">
        <v>441</v>
      </c>
      <c r="D165" s="18" t="s">
        <v>442</v>
      </c>
      <c r="E165" s="9">
        <v>1.0</v>
      </c>
      <c r="F165" s="9"/>
      <c r="G165" s="9" t="s">
        <v>75</v>
      </c>
      <c r="H165" s="23">
        <v>42723.0</v>
      </c>
    </row>
    <row r="166">
      <c r="A166" s="46"/>
      <c r="B166" s="17" t="s">
        <v>443</v>
      </c>
      <c r="C166" s="17" t="s">
        <v>444</v>
      </c>
      <c r="D166" s="18" t="s">
        <v>437</v>
      </c>
      <c r="E166" s="18">
        <v>6.0</v>
      </c>
      <c r="F166" s="9"/>
      <c r="G166" s="18" t="s">
        <v>75</v>
      </c>
      <c r="H166" s="23">
        <v>44168.0</v>
      </c>
    </row>
    <row r="167">
      <c r="A167" s="46"/>
      <c r="B167" s="17" t="s">
        <v>445</v>
      </c>
      <c r="C167" s="17" t="s">
        <v>446</v>
      </c>
      <c r="D167" s="18" t="s">
        <v>437</v>
      </c>
      <c r="E167" s="18">
        <v>12.0</v>
      </c>
      <c r="F167" s="18"/>
      <c r="G167" s="18" t="s">
        <v>75</v>
      </c>
      <c r="H167" s="23">
        <v>44623.0</v>
      </c>
    </row>
    <row r="168">
      <c r="A168" s="46"/>
      <c r="B168" s="8" t="s">
        <v>447</v>
      </c>
      <c r="C168" s="8" t="s">
        <v>448</v>
      </c>
      <c r="D168" s="18" t="s">
        <v>437</v>
      </c>
      <c r="E168" s="56">
        <v>0.0</v>
      </c>
      <c r="F168" s="9"/>
      <c r="G168" s="9" t="s">
        <v>75</v>
      </c>
      <c r="H168" s="23">
        <v>45096.0</v>
      </c>
    </row>
    <row r="169">
      <c r="A169" s="46"/>
      <c r="B169" s="17" t="s">
        <v>449</v>
      </c>
      <c r="C169" s="17" t="s">
        <v>450</v>
      </c>
      <c r="D169" s="18" t="s">
        <v>451</v>
      </c>
      <c r="E169" s="18">
        <f>182-4-1</f>
        <v>177</v>
      </c>
      <c r="F169" s="9"/>
      <c r="G169" s="18" t="s">
        <v>75</v>
      </c>
      <c r="H169" s="32">
        <v>46106.56343891204</v>
      </c>
    </row>
    <row r="170">
      <c r="A170" s="46"/>
      <c r="B170" s="8" t="s">
        <v>452</v>
      </c>
      <c r="C170" s="8" t="s">
        <v>453</v>
      </c>
      <c r="D170" s="18" t="s">
        <v>454</v>
      </c>
      <c r="E170" s="9">
        <v>54.0</v>
      </c>
      <c r="F170" s="9"/>
      <c r="G170" s="9" t="s">
        <v>75</v>
      </c>
      <c r="H170" s="23">
        <v>41723.0</v>
      </c>
    </row>
    <row r="171">
      <c r="A171" s="46"/>
      <c r="B171" s="17" t="s">
        <v>455</v>
      </c>
      <c r="C171" s="17" t="s">
        <v>456</v>
      </c>
      <c r="D171" s="18" t="s">
        <v>413</v>
      </c>
      <c r="E171" s="42">
        <v>0.0</v>
      </c>
      <c r="F171" s="9"/>
      <c r="G171" s="18"/>
      <c r="H171" s="23">
        <v>44515.0</v>
      </c>
    </row>
    <row r="172">
      <c r="A172" s="46"/>
      <c r="B172" s="17" t="s">
        <v>455</v>
      </c>
      <c r="C172" s="17" t="s">
        <v>457</v>
      </c>
      <c r="D172" s="18" t="s">
        <v>413</v>
      </c>
      <c r="E172" s="42">
        <v>0.0</v>
      </c>
      <c r="F172" s="9"/>
      <c r="G172" s="18"/>
      <c r="H172" s="23">
        <v>44208.0</v>
      </c>
    </row>
    <row r="173">
      <c r="A173" s="46"/>
      <c r="B173" s="17" t="s">
        <v>458</v>
      </c>
      <c r="C173" s="17">
        <v>48.0</v>
      </c>
      <c r="D173" s="18" t="s">
        <v>459</v>
      </c>
      <c r="E173" s="18">
        <v>10.0</v>
      </c>
      <c r="F173" s="9"/>
      <c r="G173" s="18" t="s">
        <v>75</v>
      </c>
      <c r="H173" s="23">
        <v>43630.0</v>
      </c>
    </row>
    <row r="174">
      <c r="A174" s="46"/>
      <c r="B174" s="16" t="s">
        <v>460</v>
      </c>
      <c r="C174" s="17" t="s">
        <v>461</v>
      </c>
      <c r="D174" s="18" t="s">
        <v>462</v>
      </c>
      <c r="E174" s="18">
        <v>18.0</v>
      </c>
      <c r="F174" s="18"/>
      <c r="G174" s="18" t="s">
        <v>463</v>
      </c>
      <c r="H174" s="10">
        <v>43651.0</v>
      </c>
    </row>
    <row r="175">
      <c r="A175" s="46"/>
      <c r="B175" s="58" t="s">
        <v>464</v>
      </c>
      <c r="C175" s="17" t="s">
        <v>465</v>
      </c>
      <c r="D175" s="18" t="s">
        <v>354</v>
      </c>
      <c r="E175" s="18">
        <v>3.0</v>
      </c>
      <c r="F175" s="18">
        <v>3.0</v>
      </c>
      <c r="G175" s="18"/>
      <c r="H175" s="59">
        <v>45337.0</v>
      </c>
    </row>
    <row r="176">
      <c r="A176" s="46"/>
      <c r="B176" s="58" t="s">
        <v>466</v>
      </c>
      <c r="C176" s="17" t="s">
        <v>467</v>
      </c>
      <c r="D176" s="18" t="s">
        <v>354</v>
      </c>
      <c r="E176" s="18">
        <v>3.0</v>
      </c>
      <c r="F176" s="18">
        <v>3.0</v>
      </c>
      <c r="G176" s="18"/>
      <c r="H176" s="59">
        <v>45482.0</v>
      </c>
    </row>
    <row r="177">
      <c r="A177" s="46"/>
      <c r="B177" s="58" t="s">
        <v>468</v>
      </c>
      <c r="C177" s="17" t="s">
        <v>469</v>
      </c>
      <c r="D177" s="18" t="s">
        <v>354</v>
      </c>
      <c r="E177" s="18">
        <v>2.0</v>
      </c>
      <c r="F177" s="18">
        <v>2.0</v>
      </c>
      <c r="G177" s="18"/>
      <c r="H177" s="59">
        <v>45337.0</v>
      </c>
    </row>
    <row r="178">
      <c r="A178" s="46"/>
      <c r="B178" s="58" t="s">
        <v>470</v>
      </c>
      <c r="C178" s="17" t="s">
        <v>471</v>
      </c>
      <c r="D178" s="18" t="s">
        <v>354</v>
      </c>
      <c r="E178" s="18">
        <v>2.0</v>
      </c>
      <c r="F178" s="18">
        <v>2.0</v>
      </c>
      <c r="G178" s="18"/>
      <c r="H178" s="59">
        <v>45337.0</v>
      </c>
    </row>
    <row r="179">
      <c r="A179" s="46"/>
      <c r="B179" s="58" t="s">
        <v>472</v>
      </c>
      <c r="C179" s="17" t="s">
        <v>473</v>
      </c>
      <c r="D179" s="18" t="s">
        <v>354</v>
      </c>
      <c r="E179" s="18">
        <v>6.0</v>
      </c>
      <c r="F179" s="18">
        <v>6.0</v>
      </c>
      <c r="G179" s="18"/>
      <c r="H179" s="59">
        <v>45482.0</v>
      </c>
    </row>
    <row r="180">
      <c r="A180" s="46"/>
      <c r="B180" s="58" t="s">
        <v>474</v>
      </c>
      <c r="C180" s="17" t="s">
        <v>475</v>
      </c>
      <c r="D180" s="18" t="s">
        <v>354</v>
      </c>
      <c r="E180" s="18">
        <v>6.0</v>
      </c>
      <c r="F180" s="18">
        <v>6.0</v>
      </c>
      <c r="G180" s="18"/>
      <c r="H180" s="59">
        <v>45482.0</v>
      </c>
    </row>
    <row r="181">
      <c r="A181" s="46"/>
      <c r="B181" s="58" t="s">
        <v>476</v>
      </c>
      <c r="C181" s="17" t="s">
        <v>477</v>
      </c>
      <c r="D181" s="18" t="s">
        <v>354</v>
      </c>
      <c r="E181" s="42">
        <v>5.0</v>
      </c>
      <c r="F181" s="18">
        <v>4.0</v>
      </c>
      <c r="G181" s="18"/>
      <c r="H181" s="59">
        <v>45337.0</v>
      </c>
    </row>
    <row r="182">
      <c r="A182" s="46"/>
      <c r="B182" s="58" t="s">
        <v>478</v>
      </c>
      <c r="C182" s="17" t="s">
        <v>479</v>
      </c>
      <c r="D182" s="18" t="s">
        <v>354</v>
      </c>
      <c r="E182" s="42">
        <v>3.0</v>
      </c>
      <c r="F182" s="18">
        <v>2.0</v>
      </c>
      <c r="G182" s="18"/>
      <c r="H182" s="23">
        <v>45337.0</v>
      </c>
    </row>
    <row r="183">
      <c r="A183" s="46"/>
      <c r="B183" s="58" t="s">
        <v>480</v>
      </c>
      <c r="C183" s="17" t="s">
        <v>481</v>
      </c>
      <c r="D183" s="18" t="s">
        <v>354</v>
      </c>
      <c r="E183" s="42">
        <v>2.0</v>
      </c>
      <c r="F183" s="18">
        <v>2.0</v>
      </c>
      <c r="G183" s="18"/>
      <c r="H183" s="59">
        <v>45337.0</v>
      </c>
    </row>
    <row r="184">
      <c r="A184" s="46"/>
      <c r="B184" s="60" t="s">
        <v>482</v>
      </c>
      <c r="C184" s="17" t="s">
        <v>483</v>
      </c>
      <c r="D184" s="18" t="s">
        <v>354</v>
      </c>
      <c r="E184" s="42">
        <v>1.0</v>
      </c>
      <c r="F184" s="18">
        <v>2.0</v>
      </c>
      <c r="G184" s="18"/>
      <c r="H184" s="59">
        <v>45911.0</v>
      </c>
    </row>
    <row r="185">
      <c r="A185" s="46"/>
      <c r="B185" s="61" t="s">
        <v>484</v>
      </c>
      <c r="C185" s="17" t="s">
        <v>485</v>
      </c>
      <c r="D185" s="18" t="s">
        <v>354</v>
      </c>
      <c r="E185" s="42">
        <v>8.0</v>
      </c>
      <c r="F185" s="18">
        <v>8.0</v>
      </c>
      <c r="G185" s="18"/>
      <c r="H185" s="59">
        <v>45911.0</v>
      </c>
    </row>
    <row r="186">
      <c r="A186" s="46"/>
      <c r="B186" s="61" t="s">
        <v>486</v>
      </c>
      <c r="C186" s="17" t="s">
        <v>487</v>
      </c>
      <c r="D186" s="18" t="s">
        <v>354</v>
      </c>
      <c r="E186" s="42">
        <v>4.0</v>
      </c>
      <c r="F186" s="18">
        <v>4.0</v>
      </c>
      <c r="G186" s="18"/>
      <c r="H186" s="59">
        <v>45911.0</v>
      </c>
    </row>
    <row r="187">
      <c r="A187" s="46"/>
      <c r="B187" s="61" t="s">
        <v>488</v>
      </c>
      <c r="C187" s="17" t="s">
        <v>489</v>
      </c>
      <c r="D187" s="18" t="s">
        <v>354</v>
      </c>
      <c r="E187" s="18">
        <v>2.0</v>
      </c>
      <c r="F187" s="18">
        <v>2.0</v>
      </c>
      <c r="G187" s="18"/>
      <c r="H187" s="59">
        <v>45337.0</v>
      </c>
    </row>
    <row r="188">
      <c r="A188" s="46"/>
      <c r="B188" s="61" t="s">
        <v>490</v>
      </c>
      <c r="C188" s="17" t="s">
        <v>491</v>
      </c>
      <c r="D188" s="18" t="s">
        <v>354</v>
      </c>
      <c r="E188" s="56">
        <v>1.0</v>
      </c>
      <c r="F188" s="18">
        <v>2.0</v>
      </c>
      <c r="G188" s="18"/>
      <c r="H188" s="23"/>
    </row>
    <row r="189">
      <c r="A189" s="46"/>
      <c r="B189" s="17" t="s">
        <v>492</v>
      </c>
      <c r="C189" s="17" t="s">
        <v>493</v>
      </c>
      <c r="D189" s="18" t="s">
        <v>494</v>
      </c>
      <c r="E189" s="42">
        <f>978-4-3-8-4-4-4</f>
        <v>951</v>
      </c>
      <c r="F189" s="18">
        <v>50.0</v>
      </c>
      <c r="G189" s="18" t="s">
        <v>75</v>
      </c>
      <c r="H189" s="32">
        <v>46065.613266886576</v>
      </c>
    </row>
    <row r="190">
      <c r="A190" s="46"/>
      <c r="B190" s="62" t="s">
        <v>495</v>
      </c>
      <c r="C190" s="17" t="s">
        <v>496</v>
      </c>
      <c r="D190" s="18" t="s">
        <v>497</v>
      </c>
      <c r="E190" s="18">
        <v>30.0</v>
      </c>
      <c r="F190" s="18">
        <v>40.0</v>
      </c>
      <c r="G190" s="18" t="s">
        <v>75</v>
      </c>
      <c r="H190" s="23">
        <v>45665.0</v>
      </c>
    </row>
    <row r="191">
      <c r="A191" s="46"/>
      <c r="B191" s="62" t="s">
        <v>498</v>
      </c>
      <c r="C191" s="17" t="s">
        <v>499</v>
      </c>
      <c r="D191" s="18" t="s">
        <v>497</v>
      </c>
      <c r="E191" s="18">
        <v>4.0</v>
      </c>
      <c r="F191" s="18">
        <v>40.0</v>
      </c>
      <c r="G191" s="18" t="s">
        <v>75</v>
      </c>
      <c r="H191" s="32">
        <v>46008.56320875</v>
      </c>
    </row>
    <row r="192">
      <c r="A192" s="46"/>
      <c r="B192" s="62" t="s">
        <v>500</v>
      </c>
      <c r="C192" s="17" t="s">
        <v>501</v>
      </c>
      <c r="D192" s="18" t="s">
        <v>497</v>
      </c>
      <c r="E192" s="63" t="s">
        <v>502</v>
      </c>
      <c r="F192" s="18">
        <v>40.0</v>
      </c>
      <c r="G192" s="18" t="s">
        <v>75</v>
      </c>
      <c r="H192" s="23">
        <v>45329.0</v>
      </c>
    </row>
    <row r="193">
      <c r="A193" s="46"/>
      <c r="B193" s="62" t="s">
        <v>503</v>
      </c>
      <c r="C193" s="17" t="s">
        <v>504</v>
      </c>
      <c r="D193" s="18" t="s">
        <v>497</v>
      </c>
      <c r="E193" s="18" t="s">
        <v>505</v>
      </c>
      <c r="F193" s="18">
        <v>8.0</v>
      </c>
      <c r="G193" s="18" t="s">
        <v>75</v>
      </c>
      <c r="H193" s="23">
        <v>45329.0</v>
      </c>
    </row>
    <row r="194">
      <c r="A194" s="46"/>
      <c r="B194" s="62" t="s">
        <v>506</v>
      </c>
      <c r="C194" s="64" t="s">
        <v>507</v>
      </c>
      <c r="D194" s="65" t="s">
        <v>497</v>
      </c>
      <c r="E194" s="18" t="s">
        <v>508</v>
      </c>
      <c r="F194" s="18">
        <v>4.0</v>
      </c>
      <c r="G194" s="65" t="s">
        <v>75</v>
      </c>
      <c r="H194" s="23">
        <v>45329.0</v>
      </c>
    </row>
    <row r="195">
      <c r="A195" s="46"/>
      <c r="B195" s="62" t="s">
        <v>509</v>
      </c>
      <c r="C195" s="17" t="s">
        <v>510</v>
      </c>
      <c r="D195" s="65" t="s">
        <v>497</v>
      </c>
      <c r="E195" s="18" t="s">
        <v>508</v>
      </c>
      <c r="F195" s="18">
        <v>4.0</v>
      </c>
      <c r="G195" s="65" t="s">
        <v>75</v>
      </c>
      <c r="H195" s="23">
        <v>45329.0</v>
      </c>
    </row>
    <row r="196">
      <c r="A196" s="46"/>
      <c r="B196" s="17" t="s">
        <v>511</v>
      </c>
      <c r="C196" s="17" t="s">
        <v>512</v>
      </c>
      <c r="D196" s="18" t="s">
        <v>513</v>
      </c>
      <c r="E196" s="18">
        <v>153.0</v>
      </c>
      <c r="F196" s="9"/>
      <c r="G196" s="18" t="s">
        <v>75</v>
      </c>
      <c r="H196" s="23">
        <v>45681.0</v>
      </c>
    </row>
    <row r="197">
      <c r="A197" s="46"/>
      <c r="B197" s="17" t="s">
        <v>514</v>
      </c>
      <c r="C197" s="17" t="s">
        <v>515</v>
      </c>
      <c r="D197" s="66" t="s">
        <v>242</v>
      </c>
      <c r="E197" s="18">
        <v>5.0</v>
      </c>
      <c r="F197" s="9"/>
      <c r="G197" s="18"/>
      <c r="H197" s="23"/>
    </row>
    <row r="198">
      <c r="A198" s="46"/>
      <c r="B198" s="17" t="s">
        <v>516</v>
      </c>
      <c r="C198" s="11" t="s">
        <v>517</v>
      </c>
      <c r="D198" s="18" t="s">
        <v>290</v>
      </c>
      <c r="E198" s="18">
        <v>2.0</v>
      </c>
      <c r="F198" s="9"/>
      <c r="G198" s="66" t="s">
        <v>75</v>
      </c>
      <c r="H198" s="23">
        <v>45616.0</v>
      </c>
    </row>
    <row r="199">
      <c r="A199" s="46"/>
      <c r="B199" s="67" t="s">
        <v>518</v>
      </c>
      <c r="C199" s="17" t="s">
        <v>519</v>
      </c>
      <c r="D199" s="18" t="s">
        <v>290</v>
      </c>
      <c r="E199" s="42">
        <v>3.0</v>
      </c>
      <c r="F199" s="9"/>
      <c r="G199" s="18" t="s">
        <v>75</v>
      </c>
      <c r="H199" s="23">
        <v>45616.0</v>
      </c>
    </row>
    <row r="200">
      <c r="A200" s="46"/>
      <c r="B200" s="16" t="s">
        <v>520</v>
      </c>
      <c r="C200" s="17"/>
      <c r="D200" s="18" t="s">
        <v>521</v>
      </c>
      <c r="E200" s="18">
        <v>43.0</v>
      </c>
      <c r="F200" s="9"/>
      <c r="G200" s="18"/>
      <c r="H200" s="10">
        <v>43594.0</v>
      </c>
    </row>
    <row r="201">
      <c r="A201" s="46"/>
      <c r="B201" s="68" t="s">
        <v>522</v>
      </c>
      <c r="C201" s="17" t="s">
        <v>523</v>
      </c>
      <c r="D201" s="18" t="s">
        <v>524</v>
      </c>
      <c r="E201" s="18">
        <v>7.0</v>
      </c>
      <c r="F201" s="9"/>
      <c r="G201" s="18"/>
      <c r="H201" s="10">
        <v>43594.0</v>
      </c>
    </row>
    <row r="202">
      <c r="A202" s="46"/>
      <c r="B202" s="68" t="s">
        <v>525</v>
      </c>
      <c r="C202" s="17" t="s">
        <v>526</v>
      </c>
      <c r="D202" s="18" t="s">
        <v>524</v>
      </c>
      <c r="E202" s="18">
        <v>8.0</v>
      </c>
      <c r="F202" s="9"/>
      <c r="G202" s="18"/>
      <c r="H202" s="10">
        <v>43594.0</v>
      </c>
    </row>
    <row r="203">
      <c r="A203" s="46"/>
      <c r="B203" s="68" t="s">
        <v>527</v>
      </c>
      <c r="C203" s="17" t="s">
        <v>528</v>
      </c>
      <c r="D203" s="18" t="s">
        <v>529</v>
      </c>
      <c r="E203" s="18">
        <v>10.0</v>
      </c>
      <c r="F203" s="9"/>
      <c r="G203" s="18" t="s">
        <v>530</v>
      </c>
      <c r="H203" s="10">
        <v>43594.0</v>
      </c>
    </row>
    <row r="204">
      <c r="A204" s="46"/>
      <c r="B204" s="68" t="s">
        <v>531</v>
      </c>
      <c r="C204" s="17"/>
      <c r="D204" s="18" t="s">
        <v>532</v>
      </c>
      <c r="E204" s="18">
        <v>5.0</v>
      </c>
      <c r="F204" s="9"/>
      <c r="G204" s="18"/>
      <c r="H204" s="10">
        <v>43594.0</v>
      </c>
    </row>
    <row r="205">
      <c r="A205" s="46"/>
      <c r="B205" s="68" t="s">
        <v>533</v>
      </c>
      <c r="C205" s="17" t="s">
        <v>534</v>
      </c>
      <c r="D205" s="18" t="s">
        <v>535</v>
      </c>
      <c r="E205" s="18">
        <v>18.0</v>
      </c>
      <c r="F205" s="9"/>
      <c r="G205" s="18" t="s">
        <v>536</v>
      </c>
      <c r="H205" s="10">
        <v>43594.0</v>
      </c>
    </row>
    <row r="206">
      <c r="A206" s="46"/>
      <c r="B206" s="69" t="s">
        <v>537</v>
      </c>
      <c r="C206" s="8" t="s">
        <v>538</v>
      </c>
      <c r="D206" s="18" t="s">
        <v>539</v>
      </c>
      <c r="E206" s="9">
        <v>1.0</v>
      </c>
      <c r="F206" s="9"/>
      <c r="G206" s="9" t="s">
        <v>181</v>
      </c>
      <c r="H206" s="23">
        <v>41743.0</v>
      </c>
    </row>
    <row r="207">
      <c r="A207" s="46"/>
      <c r="B207" s="69" t="s">
        <v>540</v>
      </c>
      <c r="C207" s="8" t="s">
        <v>541</v>
      </c>
      <c r="D207" s="18" t="s">
        <v>539</v>
      </c>
      <c r="E207" s="9">
        <v>1.0</v>
      </c>
      <c r="F207" s="9"/>
      <c r="G207" s="9" t="s">
        <v>181</v>
      </c>
      <c r="H207" s="23">
        <v>41590.0</v>
      </c>
    </row>
    <row r="208">
      <c r="A208" s="46"/>
      <c r="B208" s="70" t="s">
        <v>542</v>
      </c>
      <c r="C208" s="67" t="s">
        <v>543</v>
      </c>
      <c r="D208" s="18" t="s">
        <v>544</v>
      </c>
      <c r="E208" s="18">
        <v>0.0</v>
      </c>
      <c r="F208" s="18"/>
      <c r="G208" s="18" t="s">
        <v>75</v>
      </c>
      <c r="H208" s="23">
        <v>44201.0</v>
      </c>
    </row>
    <row r="209">
      <c r="A209" s="46"/>
      <c r="B209" s="71" t="s">
        <v>545</v>
      </c>
      <c r="C209" s="17" t="s">
        <v>546</v>
      </c>
      <c r="D209" s="18" t="s">
        <v>547</v>
      </c>
      <c r="E209" s="72">
        <v>0.0</v>
      </c>
      <c r="F209" s="18"/>
      <c r="G209" s="18" t="s">
        <v>75</v>
      </c>
      <c r="H209" s="23">
        <v>43592.0</v>
      </c>
    </row>
    <row r="210">
      <c r="A210" s="46"/>
      <c r="B210" s="71" t="s">
        <v>548</v>
      </c>
      <c r="C210" s="17" t="s">
        <v>543</v>
      </c>
      <c r="D210" s="18" t="s">
        <v>549</v>
      </c>
      <c r="E210" s="18">
        <v>0.0</v>
      </c>
      <c r="F210" s="18"/>
      <c r="G210" s="18" t="s">
        <v>75</v>
      </c>
      <c r="H210" s="23">
        <v>44131.0</v>
      </c>
    </row>
    <row r="211">
      <c r="A211" s="46"/>
      <c r="B211" s="71" t="s">
        <v>550</v>
      </c>
      <c r="C211" s="57" t="s">
        <v>551</v>
      </c>
      <c r="D211" s="18" t="s">
        <v>358</v>
      </c>
      <c r="E211" s="42">
        <v>0.0</v>
      </c>
      <c r="F211" s="18"/>
      <c r="G211" s="18" t="s">
        <v>75</v>
      </c>
      <c r="H211" s="73">
        <v>45807.0</v>
      </c>
    </row>
    <row r="212">
      <c r="A212" s="46"/>
      <c r="B212" s="69" t="s">
        <v>552</v>
      </c>
      <c r="C212" s="8" t="s">
        <v>553</v>
      </c>
      <c r="D212" s="18" t="s">
        <v>539</v>
      </c>
      <c r="E212" s="9">
        <v>1.0</v>
      </c>
      <c r="F212" s="9"/>
      <c r="G212" s="9" t="s">
        <v>181</v>
      </c>
      <c r="H212" s="23">
        <v>41684.0</v>
      </c>
      <c r="I212" s="46"/>
    </row>
    <row r="213">
      <c r="A213" s="46"/>
      <c r="B213" s="17" t="s">
        <v>554</v>
      </c>
      <c r="C213" s="74" t="s">
        <v>555</v>
      </c>
      <c r="D213" s="18" t="s">
        <v>556</v>
      </c>
      <c r="E213" s="42">
        <v>0.0</v>
      </c>
      <c r="F213" s="18"/>
      <c r="G213" s="18" t="s">
        <v>75</v>
      </c>
      <c r="H213" s="32">
        <v>45968.44389625</v>
      </c>
    </row>
    <row r="214">
      <c r="A214" s="46"/>
      <c r="B214" s="17" t="s">
        <v>557</v>
      </c>
      <c r="C214" s="57" t="s">
        <v>555</v>
      </c>
      <c r="D214" s="18" t="s">
        <v>558</v>
      </c>
      <c r="E214" s="42">
        <v>0.0</v>
      </c>
      <c r="F214" s="18"/>
      <c r="G214" s="18" t="s">
        <v>75</v>
      </c>
      <c r="H214" s="23">
        <v>43669.0</v>
      </c>
    </row>
    <row r="215">
      <c r="A215" s="45"/>
      <c r="B215" s="17" t="s">
        <v>559</v>
      </c>
      <c r="C215" s="57" t="s">
        <v>560</v>
      </c>
      <c r="D215" s="18" t="s">
        <v>404</v>
      </c>
      <c r="E215" s="18">
        <v>0.0</v>
      </c>
      <c r="F215" s="18"/>
      <c r="G215" s="18" t="s">
        <v>75</v>
      </c>
      <c r="H215" s="23">
        <v>44221.0</v>
      </c>
    </row>
    <row r="216">
      <c r="A216" s="45"/>
      <c r="B216" s="17" t="s">
        <v>561</v>
      </c>
      <c r="C216" s="57" t="s">
        <v>560</v>
      </c>
      <c r="D216" s="18" t="s">
        <v>562</v>
      </c>
      <c r="E216" s="42">
        <v>0.0</v>
      </c>
      <c r="F216" s="18"/>
      <c r="G216" s="18" t="s">
        <v>75</v>
      </c>
      <c r="H216" s="75">
        <v>45156.0</v>
      </c>
    </row>
    <row r="217">
      <c r="A217" s="45"/>
      <c r="B217" s="17" t="s">
        <v>563</v>
      </c>
      <c r="C217" s="17" t="s">
        <v>560</v>
      </c>
      <c r="D217" s="18" t="s">
        <v>564</v>
      </c>
      <c r="E217" s="18">
        <v>0.0</v>
      </c>
      <c r="F217" s="18"/>
      <c r="G217" s="18" t="s">
        <v>75</v>
      </c>
      <c r="H217" s="23">
        <v>45156.0</v>
      </c>
    </row>
    <row r="218">
      <c r="A218" s="45"/>
      <c r="B218" s="17" t="s">
        <v>565</v>
      </c>
      <c r="C218" s="51" t="s">
        <v>560</v>
      </c>
      <c r="D218" s="18" t="s">
        <v>566</v>
      </c>
      <c r="E218" s="42">
        <v>0.0</v>
      </c>
      <c r="F218" s="18"/>
      <c r="G218" s="18" t="s">
        <v>75</v>
      </c>
      <c r="H218" s="76">
        <v>45677.0</v>
      </c>
    </row>
    <row r="219">
      <c r="A219" s="45"/>
      <c r="B219" s="17" t="s">
        <v>567</v>
      </c>
      <c r="C219" s="17" t="s">
        <v>560</v>
      </c>
      <c r="D219" s="18" t="s">
        <v>252</v>
      </c>
      <c r="E219" s="42">
        <v>0.0</v>
      </c>
      <c r="F219" s="18">
        <v>2.0</v>
      </c>
      <c r="G219" s="18" t="s">
        <v>75</v>
      </c>
      <c r="H219" s="32">
        <v>46156.5068805787</v>
      </c>
    </row>
    <row r="220">
      <c r="A220" s="45"/>
      <c r="B220" s="17" t="s">
        <v>568</v>
      </c>
      <c r="C220" s="57" t="s">
        <v>569</v>
      </c>
      <c r="D220" s="18" t="s">
        <v>358</v>
      </c>
      <c r="E220" s="42">
        <v>0.0</v>
      </c>
      <c r="F220" s="18"/>
      <c r="G220" s="18" t="s">
        <v>75</v>
      </c>
      <c r="H220" s="73">
        <v>45807.0</v>
      </c>
    </row>
    <row r="221">
      <c r="A221" s="45"/>
      <c r="B221" s="77" t="s">
        <v>570</v>
      </c>
      <c r="C221" s="17" t="s">
        <v>571</v>
      </c>
      <c r="D221" s="18" t="s">
        <v>572</v>
      </c>
      <c r="E221" s="18">
        <v>0.0</v>
      </c>
      <c r="F221" s="9"/>
      <c r="G221" s="18"/>
      <c r="H221" s="30">
        <v>45202.0</v>
      </c>
    </row>
    <row r="222">
      <c r="A222" s="45"/>
      <c r="B222" s="17" t="s">
        <v>573</v>
      </c>
      <c r="C222" s="78" t="s">
        <v>574</v>
      </c>
      <c r="D222" s="18" t="s">
        <v>575</v>
      </c>
      <c r="E222" s="79">
        <f>5-2</f>
        <v>3</v>
      </c>
      <c r="F222" s="18">
        <v>3.0</v>
      </c>
      <c r="G222" s="18" t="s">
        <v>75</v>
      </c>
      <c r="H222" s="76">
        <v>46139.397814745374</v>
      </c>
      <c r="I222" s="11" t="s">
        <v>576</v>
      </c>
    </row>
    <row r="223">
      <c r="A223" s="45"/>
      <c r="B223" s="17" t="s">
        <v>577</v>
      </c>
      <c r="C223" s="17" t="s">
        <v>578</v>
      </c>
      <c r="D223" s="18" t="s">
        <v>252</v>
      </c>
      <c r="E223" s="80">
        <v>6.0</v>
      </c>
      <c r="F223" s="18">
        <v>5.0</v>
      </c>
      <c r="G223" s="18" t="s">
        <v>75</v>
      </c>
      <c r="H223" s="75">
        <v>45838.0</v>
      </c>
    </row>
    <row r="224">
      <c r="A224" s="45"/>
      <c r="B224" s="17" t="s">
        <v>579</v>
      </c>
      <c r="C224" s="17" t="s">
        <v>580</v>
      </c>
      <c r="D224" s="18"/>
      <c r="E224" s="81">
        <v>2.0</v>
      </c>
      <c r="F224" s="18">
        <v>5.0</v>
      </c>
      <c r="G224" s="18" t="s">
        <v>75</v>
      </c>
      <c r="H224" s="23">
        <v>45797.0</v>
      </c>
    </row>
    <row r="225">
      <c r="A225" s="45"/>
      <c r="B225" s="17" t="s">
        <v>581</v>
      </c>
      <c r="C225" s="17" t="s">
        <v>582</v>
      </c>
      <c r="D225" s="18" t="s">
        <v>583</v>
      </c>
      <c r="E225" s="42">
        <v>4.0</v>
      </c>
      <c r="F225" s="9"/>
      <c r="G225" s="18" t="s">
        <v>75</v>
      </c>
      <c r="H225" s="23">
        <v>44433.0</v>
      </c>
    </row>
    <row r="226">
      <c r="A226" s="45"/>
      <c r="B226" s="17" t="s">
        <v>584</v>
      </c>
      <c r="C226" s="17" t="s">
        <v>585</v>
      </c>
      <c r="D226" s="18" t="s">
        <v>572</v>
      </c>
      <c r="E226" s="18">
        <v>1.0</v>
      </c>
      <c r="F226" s="9"/>
      <c r="G226" s="18"/>
      <c r="H226" s="30">
        <v>44950.0</v>
      </c>
    </row>
    <row r="227">
      <c r="A227" s="46"/>
      <c r="B227" s="17" t="s">
        <v>586</v>
      </c>
      <c r="C227" s="78" t="s">
        <v>587</v>
      </c>
      <c r="D227" s="18" t="s">
        <v>588</v>
      </c>
      <c r="E227" s="82">
        <f>10</f>
        <v>10</v>
      </c>
      <c r="F227" s="18"/>
      <c r="G227" s="18" t="s">
        <v>75</v>
      </c>
      <c r="H227" s="75">
        <v>45274.0</v>
      </c>
      <c r="I227" s="11" t="s">
        <v>589</v>
      </c>
    </row>
    <row r="228">
      <c r="A228" s="45"/>
      <c r="B228" s="17" t="s">
        <v>590</v>
      </c>
      <c r="C228" s="17" t="s">
        <v>591</v>
      </c>
      <c r="D228" s="18" t="s">
        <v>339</v>
      </c>
      <c r="E228" s="42">
        <v>115.0</v>
      </c>
      <c r="F228" s="18">
        <v>6.0</v>
      </c>
      <c r="G228" s="18" t="s">
        <v>75</v>
      </c>
      <c r="H228" s="32">
        <v>45940.271875439816</v>
      </c>
    </row>
    <row r="229">
      <c r="A229" s="45"/>
      <c r="B229" s="17" t="s">
        <v>592</v>
      </c>
      <c r="C229" s="17" t="s">
        <v>593</v>
      </c>
      <c r="D229" s="18" t="s">
        <v>339</v>
      </c>
      <c r="E229" s="18">
        <v>10.0</v>
      </c>
      <c r="F229" s="18">
        <v>6.0</v>
      </c>
      <c r="G229" s="18" t="s">
        <v>75</v>
      </c>
      <c r="H229" s="23">
        <v>44182.0</v>
      </c>
    </row>
    <row r="230">
      <c r="A230" s="45"/>
      <c r="B230" s="17" t="s">
        <v>594</v>
      </c>
      <c r="C230" s="17" t="s">
        <v>595</v>
      </c>
      <c r="D230" s="18" t="s">
        <v>339</v>
      </c>
      <c r="E230" s="18">
        <v>12.0</v>
      </c>
      <c r="F230" s="18">
        <v>6.0</v>
      </c>
      <c r="G230" s="18" t="s">
        <v>75</v>
      </c>
      <c r="H230" s="23">
        <v>45246.0</v>
      </c>
    </row>
    <row r="231">
      <c r="A231" s="45"/>
      <c r="B231" s="17" t="s">
        <v>596</v>
      </c>
      <c r="C231" s="17" t="s">
        <v>597</v>
      </c>
      <c r="D231" s="18" t="s">
        <v>339</v>
      </c>
      <c r="E231" s="18">
        <v>13.0</v>
      </c>
      <c r="F231" s="18">
        <v>6.0</v>
      </c>
      <c r="G231" s="18" t="s">
        <v>75</v>
      </c>
      <c r="H231" s="54">
        <v>45246.0</v>
      </c>
    </row>
    <row r="232">
      <c r="A232" s="45"/>
      <c r="B232" s="8" t="s">
        <v>598</v>
      </c>
      <c r="C232" s="8" t="s">
        <v>599</v>
      </c>
      <c r="D232" s="18" t="s">
        <v>600</v>
      </c>
      <c r="E232" s="18">
        <v>14.0</v>
      </c>
      <c r="F232" s="18">
        <v>6.0</v>
      </c>
      <c r="G232" s="9" t="s">
        <v>75</v>
      </c>
      <c r="H232" s="23">
        <v>45527.0</v>
      </c>
    </row>
    <row r="233">
      <c r="A233" s="45"/>
      <c r="B233" s="17" t="s">
        <v>601</v>
      </c>
      <c r="C233" s="17" t="s">
        <v>602</v>
      </c>
      <c r="D233" s="18" t="s">
        <v>603</v>
      </c>
      <c r="E233" s="18">
        <v>21.0</v>
      </c>
      <c r="F233" s="18">
        <v>5.0</v>
      </c>
      <c r="G233" s="18" t="s">
        <v>75</v>
      </c>
      <c r="H233" s="76">
        <v>45968.46297011574</v>
      </c>
    </row>
    <row r="234">
      <c r="A234" s="45"/>
      <c r="B234" s="40" t="s">
        <v>604</v>
      </c>
      <c r="C234" s="17" t="s">
        <v>605</v>
      </c>
      <c r="D234" s="18" t="s">
        <v>606</v>
      </c>
      <c r="E234" s="18">
        <v>139.0</v>
      </c>
      <c r="F234" s="18">
        <v>25.0</v>
      </c>
      <c r="G234" s="18" t="s">
        <v>75</v>
      </c>
      <c r="H234" s="32">
        <v>46127.45114872685</v>
      </c>
    </row>
    <row r="235">
      <c r="A235" s="45"/>
      <c r="B235" s="8" t="s">
        <v>607</v>
      </c>
      <c r="C235" s="8" t="s">
        <v>608</v>
      </c>
      <c r="D235" s="18" t="s">
        <v>609</v>
      </c>
      <c r="E235" s="18">
        <v>18.0</v>
      </c>
      <c r="F235" s="18">
        <v>5.0</v>
      </c>
      <c r="G235" s="9" t="s">
        <v>75</v>
      </c>
      <c r="H235" s="23">
        <v>45156.0</v>
      </c>
    </row>
    <row r="236">
      <c r="A236" s="45"/>
      <c r="B236" s="40" t="s">
        <v>610</v>
      </c>
      <c r="C236" s="17" t="s">
        <v>611</v>
      </c>
      <c r="D236" s="18" t="s">
        <v>612</v>
      </c>
      <c r="E236" s="18">
        <v>82.0</v>
      </c>
      <c r="F236" s="9"/>
      <c r="G236" s="18" t="s">
        <v>75</v>
      </c>
      <c r="H236" s="14">
        <v>44909.0</v>
      </c>
    </row>
    <row r="237">
      <c r="A237" s="45"/>
      <c r="B237" s="40" t="s">
        <v>613</v>
      </c>
      <c r="C237" s="17" t="s">
        <v>614</v>
      </c>
      <c r="D237" s="18" t="s">
        <v>615</v>
      </c>
      <c r="E237" s="18">
        <f>300-0</f>
        <v>300</v>
      </c>
      <c r="F237" s="9"/>
      <c r="G237" s="18" t="s">
        <v>75</v>
      </c>
      <c r="H237" s="32">
        <v>45947.37948042824</v>
      </c>
    </row>
    <row r="238">
      <c r="A238" s="45"/>
      <c r="B238" s="8" t="s">
        <v>616</v>
      </c>
      <c r="C238" s="8" t="s">
        <v>617</v>
      </c>
      <c r="D238" s="18" t="s">
        <v>618</v>
      </c>
      <c r="E238" s="18">
        <v>8.0</v>
      </c>
      <c r="F238" s="18">
        <v>5.0</v>
      </c>
      <c r="G238" s="9" t="s">
        <v>75</v>
      </c>
      <c r="H238" s="32">
        <v>45950.426819722226</v>
      </c>
    </row>
    <row r="239">
      <c r="A239" s="45"/>
      <c r="B239" s="17" t="s">
        <v>619</v>
      </c>
      <c r="C239" s="17" t="s">
        <v>620</v>
      </c>
      <c r="D239" s="18" t="s">
        <v>621</v>
      </c>
      <c r="E239" s="42">
        <f>353-4</f>
        <v>349</v>
      </c>
      <c r="F239" s="9"/>
      <c r="G239" s="18" t="s">
        <v>75</v>
      </c>
      <c r="H239" s="23">
        <v>45709.0</v>
      </c>
    </row>
    <row r="240">
      <c r="A240" s="45"/>
      <c r="B240" s="40" t="s">
        <v>622</v>
      </c>
      <c r="C240" s="17" t="s">
        <v>623</v>
      </c>
      <c r="D240" s="18" t="s">
        <v>211</v>
      </c>
      <c r="E240" s="42">
        <v>17.0</v>
      </c>
      <c r="F240" s="9"/>
      <c r="G240" s="18" t="s">
        <v>75</v>
      </c>
      <c r="H240" s="23">
        <v>44886.0</v>
      </c>
    </row>
    <row r="241">
      <c r="A241" s="45"/>
      <c r="B241" s="17" t="s">
        <v>624</v>
      </c>
      <c r="C241" s="17" t="s">
        <v>625</v>
      </c>
      <c r="D241" s="18" t="s">
        <v>626</v>
      </c>
      <c r="E241" s="49" t="s">
        <v>71</v>
      </c>
      <c r="F241" s="9"/>
      <c r="G241" s="18" t="s">
        <v>75</v>
      </c>
      <c r="H241" s="23">
        <v>44180.0</v>
      </c>
    </row>
    <row r="242">
      <c r="A242" s="45"/>
      <c r="B242" s="17" t="s">
        <v>627</v>
      </c>
      <c r="C242" s="17" t="s">
        <v>628</v>
      </c>
      <c r="D242" s="18" t="s">
        <v>629</v>
      </c>
      <c r="E242" s="42">
        <v>180.0</v>
      </c>
      <c r="F242" s="18">
        <v>5.0</v>
      </c>
      <c r="G242" s="18" t="s">
        <v>75</v>
      </c>
      <c r="H242" s="23">
        <v>45068.0</v>
      </c>
    </row>
    <row r="243">
      <c r="A243" s="45"/>
      <c r="B243" s="17" t="s">
        <v>630</v>
      </c>
      <c r="C243" s="17" t="s">
        <v>631</v>
      </c>
      <c r="D243" s="18" t="s">
        <v>544</v>
      </c>
      <c r="E243" s="18">
        <v>30.0</v>
      </c>
      <c r="F243" s="18">
        <v>5.0</v>
      </c>
      <c r="G243" s="9" t="s">
        <v>75</v>
      </c>
      <c r="H243" s="23">
        <v>44536.0</v>
      </c>
    </row>
    <row r="244">
      <c r="A244" s="45"/>
      <c r="B244" s="17" t="s">
        <v>632</v>
      </c>
      <c r="C244" s="17" t="s">
        <v>633</v>
      </c>
      <c r="D244" s="18" t="s">
        <v>634</v>
      </c>
      <c r="E244" s="42">
        <v>14.0</v>
      </c>
      <c r="F244" s="18">
        <v>5.0</v>
      </c>
      <c r="G244" s="18" t="s">
        <v>75</v>
      </c>
      <c r="H244" s="32">
        <v>46042.47075824074</v>
      </c>
    </row>
    <row r="245">
      <c r="A245" s="45"/>
      <c r="B245" s="17" t="s">
        <v>635</v>
      </c>
      <c r="C245" s="17" t="s">
        <v>587</v>
      </c>
      <c r="D245" s="18" t="s">
        <v>636</v>
      </c>
      <c r="E245" s="18">
        <v>4.0</v>
      </c>
      <c r="F245" s="18">
        <v>5.0</v>
      </c>
      <c r="G245" s="18" t="s">
        <v>75</v>
      </c>
      <c r="H245" s="32">
        <v>46084.415837430555</v>
      </c>
    </row>
    <row r="246">
      <c r="A246" s="45"/>
      <c r="B246" s="40" t="s">
        <v>637</v>
      </c>
      <c r="C246" s="11" t="s">
        <v>638</v>
      </c>
      <c r="D246" s="18" t="s">
        <v>639</v>
      </c>
      <c r="E246" s="42">
        <f>74-4-8</f>
        <v>62</v>
      </c>
      <c r="F246" s="9"/>
      <c r="G246" s="18" t="s">
        <v>75</v>
      </c>
      <c r="H246" s="32">
        <v>46139.417528460646</v>
      </c>
    </row>
    <row r="247">
      <c r="A247" s="45"/>
      <c r="B247" s="17" t="s">
        <v>640</v>
      </c>
      <c r="C247" s="17" t="s">
        <v>641</v>
      </c>
      <c r="D247" s="18" t="s">
        <v>636</v>
      </c>
      <c r="E247" s="56">
        <v>5.0</v>
      </c>
      <c r="F247" s="18">
        <v>5.0</v>
      </c>
      <c r="G247" s="18" t="s">
        <v>75</v>
      </c>
      <c r="H247" s="32">
        <v>46084.41593960648</v>
      </c>
    </row>
    <row r="248">
      <c r="A248" s="45"/>
      <c r="B248" s="17" t="s">
        <v>642</v>
      </c>
      <c r="C248" s="17" t="s">
        <v>643</v>
      </c>
      <c r="D248" s="18" t="s">
        <v>644</v>
      </c>
      <c r="E248" s="42">
        <f>5-2</f>
        <v>3</v>
      </c>
      <c r="F248" s="18">
        <v>5.0</v>
      </c>
      <c r="G248" s="18" t="s">
        <v>75</v>
      </c>
      <c r="H248" s="14">
        <v>45909.0</v>
      </c>
    </row>
    <row r="249">
      <c r="A249" s="45"/>
      <c r="B249" s="8" t="s">
        <v>645</v>
      </c>
      <c r="C249" s="8" t="s">
        <v>646</v>
      </c>
      <c r="D249" s="18" t="s">
        <v>647</v>
      </c>
      <c r="E249" s="18">
        <v>4.0</v>
      </c>
      <c r="F249" s="18">
        <v>5.0</v>
      </c>
      <c r="G249" s="9" t="s">
        <v>75</v>
      </c>
      <c r="H249" s="14">
        <v>45035.0</v>
      </c>
    </row>
    <row r="250">
      <c r="A250" s="45"/>
      <c r="B250" s="17" t="s">
        <v>648</v>
      </c>
      <c r="C250" s="67" t="s">
        <v>649</v>
      </c>
      <c r="D250" s="18" t="s">
        <v>650</v>
      </c>
      <c r="E250" s="18">
        <v>3.0</v>
      </c>
      <c r="F250" s="18">
        <v>5.0</v>
      </c>
      <c r="G250" s="18" t="s">
        <v>75</v>
      </c>
      <c r="H250" s="73">
        <v>45272.0</v>
      </c>
    </row>
    <row r="251">
      <c r="A251" s="45"/>
      <c r="B251" s="17" t="s">
        <v>651</v>
      </c>
      <c r="C251" s="17" t="s">
        <v>652</v>
      </c>
      <c r="D251" s="18"/>
      <c r="E251" s="18"/>
      <c r="F251" s="9"/>
      <c r="G251" s="9"/>
      <c r="H251" s="23"/>
    </row>
    <row r="252">
      <c r="A252" s="45"/>
      <c r="B252" s="17" t="s">
        <v>653</v>
      </c>
      <c r="C252" s="17" t="s">
        <v>654</v>
      </c>
      <c r="D252" s="18"/>
      <c r="E252" s="42">
        <v>0.0</v>
      </c>
      <c r="F252" s="18">
        <v>3.0</v>
      </c>
      <c r="G252" s="18" t="s">
        <v>75</v>
      </c>
      <c r="H252" s="23">
        <v>45881.0</v>
      </c>
    </row>
    <row r="253">
      <c r="A253" s="45"/>
      <c r="B253" s="17" t="s">
        <v>655</v>
      </c>
      <c r="C253" s="17" t="s">
        <v>656</v>
      </c>
      <c r="D253" s="18" t="s">
        <v>657</v>
      </c>
      <c r="E253" s="42">
        <v>95.0</v>
      </c>
      <c r="F253" s="18">
        <v>10.0</v>
      </c>
      <c r="G253" s="18" t="s">
        <v>75</v>
      </c>
      <c r="H253" s="32">
        <v>46121.45428489584</v>
      </c>
      <c r="I253" s="46"/>
    </row>
    <row r="254">
      <c r="A254" s="45"/>
      <c r="B254" s="17" t="s">
        <v>658</v>
      </c>
      <c r="C254" s="17" t="s">
        <v>659</v>
      </c>
      <c r="D254" s="18" t="s">
        <v>660</v>
      </c>
      <c r="E254" s="42">
        <v>123.0</v>
      </c>
      <c r="F254" s="18">
        <v>10.0</v>
      </c>
      <c r="G254" s="18" t="s">
        <v>75</v>
      </c>
      <c r="H254" s="32">
        <v>46121.45410328703</v>
      </c>
      <c r="I254" s="46"/>
    </row>
    <row r="255">
      <c r="A255" s="45"/>
      <c r="B255" s="17" t="s">
        <v>661</v>
      </c>
      <c r="C255" s="17" t="s">
        <v>662</v>
      </c>
      <c r="D255" s="18" t="s">
        <v>26</v>
      </c>
      <c r="E255" s="18">
        <v>6.0</v>
      </c>
      <c r="F255" s="9"/>
      <c r="G255" s="18" t="s">
        <v>75</v>
      </c>
      <c r="H255" s="30">
        <v>45253.0</v>
      </c>
      <c r="I255" s="46"/>
    </row>
    <row r="256">
      <c r="A256" s="45"/>
      <c r="B256" s="17" t="s">
        <v>663</v>
      </c>
      <c r="C256" s="17" t="s">
        <v>664</v>
      </c>
      <c r="D256" s="18" t="s">
        <v>572</v>
      </c>
      <c r="E256" s="18">
        <v>6.0</v>
      </c>
      <c r="F256" s="9"/>
      <c r="G256" s="18"/>
      <c r="H256" s="30">
        <v>45561.0</v>
      </c>
      <c r="I256" s="46"/>
    </row>
    <row r="257">
      <c r="A257" s="45"/>
      <c r="B257" s="17" t="s">
        <v>665</v>
      </c>
      <c r="C257" s="17" t="s">
        <v>666</v>
      </c>
      <c r="D257" s="18" t="s">
        <v>227</v>
      </c>
      <c r="E257" s="18">
        <v>3.0</v>
      </c>
      <c r="F257" s="18">
        <v>1.0</v>
      </c>
      <c r="G257" s="18" t="s">
        <v>75</v>
      </c>
      <c r="H257" s="32">
        <v>46001.4834427662</v>
      </c>
      <c r="I257" s="46"/>
    </row>
    <row r="258">
      <c r="A258" s="45"/>
      <c r="B258" s="8" t="s">
        <v>667</v>
      </c>
      <c r="C258" s="8" t="s">
        <v>667</v>
      </c>
      <c r="D258" s="18" t="s">
        <v>668</v>
      </c>
      <c r="E258" s="9" t="s">
        <v>669</v>
      </c>
      <c r="F258" s="9"/>
      <c r="G258" s="9" t="s">
        <v>670</v>
      </c>
      <c r="H258" s="25"/>
      <c r="I258" s="46"/>
    </row>
    <row r="259">
      <c r="A259" s="45"/>
      <c r="B259" s="16" t="s">
        <v>671</v>
      </c>
      <c r="C259" s="17" t="s">
        <v>672</v>
      </c>
      <c r="D259" s="18" t="s">
        <v>165</v>
      </c>
      <c r="E259" s="18">
        <v>5.0</v>
      </c>
      <c r="F259" s="18"/>
      <c r="G259" s="18" t="s">
        <v>463</v>
      </c>
      <c r="H259" s="10"/>
    </row>
    <row r="260">
      <c r="A260" s="45"/>
      <c r="B260" s="16" t="s">
        <v>673</v>
      </c>
      <c r="C260" s="17" t="s">
        <v>674</v>
      </c>
      <c r="D260" s="18" t="s">
        <v>675</v>
      </c>
      <c r="E260" s="18" t="s">
        <v>676</v>
      </c>
      <c r="F260" s="9"/>
      <c r="G260" s="18" t="s">
        <v>677</v>
      </c>
      <c r="H260" s="10">
        <v>43594.0</v>
      </c>
    </row>
    <row r="261">
      <c r="A261" s="45"/>
      <c r="B261" s="8" t="s">
        <v>678</v>
      </c>
      <c r="C261" s="8" t="s">
        <v>679</v>
      </c>
      <c r="D261" s="18" t="s">
        <v>680</v>
      </c>
      <c r="E261" s="18">
        <v>45.0</v>
      </c>
      <c r="F261" s="18">
        <v>2.0</v>
      </c>
      <c r="G261" s="9" t="s">
        <v>75</v>
      </c>
      <c r="H261" s="23">
        <v>45034.0</v>
      </c>
    </row>
    <row r="262">
      <c r="A262" s="45"/>
      <c r="B262" s="17" t="s">
        <v>681</v>
      </c>
      <c r="C262" s="17" t="s">
        <v>682</v>
      </c>
      <c r="D262" s="18" t="s">
        <v>683</v>
      </c>
      <c r="E262" s="18">
        <v>8.0</v>
      </c>
      <c r="F262" s="18"/>
      <c r="G262" s="18" t="s">
        <v>75</v>
      </c>
      <c r="H262" s="23">
        <v>44168.0</v>
      </c>
    </row>
    <row r="263">
      <c r="A263" s="45"/>
      <c r="B263" s="17" t="s">
        <v>684</v>
      </c>
      <c r="C263" s="17" t="s">
        <v>682</v>
      </c>
      <c r="D263" s="18" t="s">
        <v>685</v>
      </c>
      <c r="E263" s="18"/>
      <c r="F263" s="18"/>
      <c r="G263" s="18" t="s">
        <v>75</v>
      </c>
      <c r="H263" s="23">
        <v>45090.0</v>
      </c>
    </row>
    <row r="264">
      <c r="A264" s="45"/>
      <c r="B264" s="17" t="s">
        <v>686</v>
      </c>
      <c r="C264" s="17" t="s">
        <v>682</v>
      </c>
      <c r="D264" s="18" t="s">
        <v>687</v>
      </c>
      <c r="E264" s="18">
        <v>1.0</v>
      </c>
      <c r="F264" s="18">
        <v>5.0</v>
      </c>
      <c r="G264" s="18" t="s">
        <v>75</v>
      </c>
      <c r="H264" s="32">
        <v>46115.414321041666</v>
      </c>
      <c r="I264" s="11"/>
    </row>
    <row r="265">
      <c r="A265" s="45"/>
      <c r="B265" s="17" t="s">
        <v>688</v>
      </c>
      <c r="C265" s="17" t="s">
        <v>682</v>
      </c>
      <c r="D265" s="18" t="s">
        <v>358</v>
      </c>
      <c r="E265" s="18">
        <f>13-1</f>
        <v>12</v>
      </c>
      <c r="F265" s="18">
        <v>5.0</v>
      </c>
      <c r="G265" s="18" t="s">
        <v>75</v>
      </c>
      <c r="H265" s="32">
        <v>46009.370379722226</v>
      </c>
      <c r="I265" s="11" t="s">
        <v>689</v>
      </c>
    </row>
    <row r="266">
      <c r="A266" s="45"/>
      <c r="B266" s="17" t="s">
        <v>690</v>
      </c>
      <c r="C266" s="11" t="s">
        <v>682</v>
      </c>
      <c r="D266" s="18" t="s">
        <v>691</v>
      </c>
      <c r="E266" s="18">
        <v>48.0</v>
      </c>
      <c r="F266" s="83"/>
      <c r="G266" s="18" t="s">
        <v>75</v>
      </c>
      <c r="H266" s="23">
        <v>45197.0</v>
      </c>
    </row>
    <row r="267">
      <c r="A267" s="45"/>
      <c r="B267" s="17" t="s">
        <v>692</v>
      </c>
      <c r="C267" s="11" t="s">
        <v>693</v>
      </c>
      <c r="D267" s="18" t="s">
        <v>437</v>
      </c>
      <c r="E267" s="18">
        <v>1.0</v>
      </c>
      <c r="F267" s="18">
        <v>1.0</v>
      </c>
      <c r="G267" s="18" t="s">
        <v>75</v>
      </c>
      <c r="H267" s="23">
        <v>45538.0</v>
      </c>
      <c r="I267" s="11"/>
    </row>
    <row r="268">
      <c r="A268" s="45"/>
      <c r="B268" s="17" t="s">
        <v>694</v>
      </c>
      <c r="C268" s="17" t="s">
        <v>695</v>
      </c>
      <c r="D268" s="18" t="s">
        <v>696</v>
      </c>
      <c r="E268" s="18">
        <v>97.0</v>
      </c>
      <c r="F268" s="18"/>
      <c r="G268" s="18" t="s">
        <v>75</v>
      </c>
      <c r="H268" s="32">
        <v>46153.55922576389</v>
      </c>
      <c r="I268" s="11" t="s">
        <v>697</v>
      </c>
    </row>
    <row r="269">
      <c r="A269" s="45"/>
      <c r="B269" s="17" t="s">
        <v>698</v>
      </c>
      <c r="C269" s="17" t="s">
        <v>699</v>
      </c>
      <c r="D269" s="18" t="s">
        <v>700</v>
      </c>
      <c r="E269" s="18">
        <v>104.0</v>
      </c>
      <c r="F269" s="18"/>
      <c r="G269" s="18" t="s">
        <v>75</v>
      </c>
      <c r="H269" s="32">
        <v>46126.54529900463</v>
      </c>
    </row>
    <row r="270">
      <c r="A270" s="45"/>
      <c r="B270" s="17" t="s">
        <v>701</v>
      </c>
      <c r="C270" s="17" t="s">
        <v>702</v>
      </c>
      <c r="D270" s="18" t="s">
        <v>703</v>
      </c>
      <c r="E270" s="18">
        <v>55.0</v>
      </c>
      <c r="F270" s="18"/>
      <c r="G270" s="18" t="s">
        <v>75</v>
      </c>
      <c r="H270" s="32">
        <v>46126.545320034726</v>
      </c>
    </row>
    <row r="271">
      <c r="A271" s="45"/>
      <c r="B271" s="17" t="s">
        <v>704</v>
      </c>
      <c r="C271" s="17" t="s">
        <v>705</v>
      </c>
      <c r="D271" s="18" t="s">
        <v>706</v>
      </c>
      <c r="E271" s="18">
        <f>115-3-10-4-4-4-4</f>
        <v>86</v>
      </c>
      <c r="F271" s="18"/>
      <c r="G271" s="18" t="s">
        <v>75</v>
      </c>
      <c r="H271" s="32">
        <v>46129.39994689815</v>
      </c>
    </row>
    <row r="272">
      <c r="A272" s="45"/>
      <c r="B272" s="17" t="s">
        <v>707</v>
      </c>
      <c r="C272" s="17" t="s">
        <v>708</v>
      </c>
      <c r="D272" s="18" t="s">
        <v>709</v>
      </c>
      <c r="E272" s="18">
        <v>31.0</v>
      </c>
      <c r="F272" s="18"/>
      <c r="G272" s="18" t="s">
        <v>75</v>
      </c>
      <c r="H272" s="30">
        <v>45715.0</v>
      </c>
    </row>
    <row r="273">
      <c r="A273" s="45"/>
      <c r="B273" s="17" t="s">
        <v>710</v>
      </c>
      <c r="C273" s="17" t="s">
        <v>711</v>
      </c>
      <c r="D273" s="18" t="s">
        <v>712</v>
      </c>
      <c r="E273" s="18">
        <v>4.0</v>
      </c>
      <c r="F273" s="18"/>
      <c r="G273" s="18" t="s">
        <v>75</v>
      </c>
      <c r="H273" s="23">
        <v>45715.0</v>
      </c>
    </row>
    <row r="274">
      <c r="A274" s="45"/>
      <c r="B274" s="17" t="s">
        <v>713</v>
      </c>
      <c r="C274" s="17" t="s">
        <v>714</v>
      </c>
      <c r="D274" s="18" t="s">
        <v>715</v>
      </c>
      <c r="E274" s="42">
        <f>139-2-3-2-2</f>
        <v>130</v>
      </c>
      <c r="F274" s="18"/>
      <c r="G274" s="18" t="s">
        <v>75</v>
      </c>
      <c r="H274" s="32">
        <v>46129.401325451385</v>
      </c>
    </row>
    <row r="275">
      <c r="A275" s="45"/>
      <c r="B275" s="17" t="s">
        <v>716</v>
      </c>
      <c r="C275" s="17" t="s">
        <v>717</v>
      </c>
      <c r="D275" s="18" t="s">
        <v>718</v>
      </c>
      <c r="E275" s="42"/>
      <c r="F275" s="18"/>
      <c r="G275" s="18" t="s">
        <v>75</v>
      </c>
      <c r="H275" s="73">
        <v>45257.0</v>
      </c>
    </row>
    <row r="276">
      <c r="A276" s="45"/>
      <c r="B276" s="17" t="s">
        <v>719</v>
      </c>
      <c r="C276" s="17" t="s">
        <v>720</v>
      </c>
      <c r="D276" s="18" t="s">
        <v>721</v>
      </c>
      <c r="E276" s="18">
        <v>1.0</v>
      </c>
      <c r="F276" s="18">
        <v>10.0</v>
      </c>
      <c r="G276" s="18" t="s">
        <v>75</v>
      </c>
      <c r="H276" s="32">
        <v>45961.447466122685</v>
      </c>
    </row>
    <row r="277">
      <c r="A277" s="45"/>
      <c r="B277" s="17" t="s">
        <v>722</v>
      </c>
      <c r="C277" s="17" t="s">
        <v>720</v>
      </c>
      <c r="D277" s="18" t="s">
        <v>721</v>
      </c>
      <c r="E277" s="18">
        <v>0.0</v>
      </c>
      <c r="F277" s="18">
        <v>20.0</v>
      </c>
      <c r="G277" s="18" t="s">
        <v>75</v>
      </c>
      <c r="H277" s="32">
        <v>45961.44751384259</v>
      </c>
    </row>
    <row r="278">
      <c r="A278" s="45"/>
      <c r="B278" s="17" t="s">
        <v>723</v>
      </c>
      <c r="C278" s="17" t="s">
        <v>720</v>
      </c>
      <c r="D278" s="18" t="s">
        <v>721</v>
      </c>
      <c r="E278" s="18">
        <v>5.0</v>
      </c>
      <c r="F278" s="18">
        <v>10.0</v>
      </c>
      <c r="G278" s="18" t="s">
        <v>75</v>
      </c>
      <c r="H278" s="32">
        <v>45961.447503460644</v>
      </c>
    </row>
    <row r="279">
      <c r="A279" s="45"/>
      <c r="B279" s="17" t="s">
        <v>724</v>
      </c>
      <c r="C279" s="17" t="s">
        <v>720</v>
      </c>
      <c r="D279" s="18" t="s">
        <v>721</v>
      </c>
      <c r="E279" s="18">
        <v>12.0</v>
      </c>
      <c r="F279" s="18">
        <v>10.0</v>
      </c>
      <c r="G279" s="18" t="s">
        <v>75</v>
      </c>
      <c r="H279" s="32">
        <v>45961.44755010417</v>
      </c>
    </row>
    <row r="280">
      <c r="A280" s="45"/>
      <c r="B280" s="17" t="s">
        <v>725</v>
      </c>
      <c r="C280" s="17" t="s">
        <v>720</v>
      </c>
      <c r="D280" s="18" t="s">
        <v>721</v>
      </c>
      <c r="E280" s="18">
        <v>0.0</v>
      </c>
      <c r="F280" s="18">
        <v>10.0</v>
      </c>
      <c r="G280" s="18" t="s">
        <v>75</v>
      </c>
      <c r="H280" s="32">
        <v>45961.44755306713</v>
      </c>
      <c r="I280" s="11" t="s">
        <v>133</v>
      </c>
    </row>
    <row r="281">
      <c r="A281" s="45"/>
      <c r="B281" s="17" t="s">
        <v>726</v>
      </c>
      <c r="C281" s="17" t="s">
        <v>720</v>
      </c>
      <c r="D281" s="18" t="s">
        <v>721</v>
      </c>
      <c r="E281" s="18">
        <v>0.0</v>
      </c>
      <c r="F281" s="18">
        <v>5.0</v>
      </c>
      <c r="G281" s="18" t="s">
        <v>75</v>
      </c>
      <c r="H281" s="32">
        <v>45961.44755916667</v>
      </c>
    </row>
    <row r="282">
      <c r="A282" s="45"/>
      <c r="B282" s="17" t="s">
        <v>727</v>
      </c>
      <c r="C282" s="17" t="s">
        <v>728</v>
      </c>
      <c r="D282" s="18" t="s">
        <v>729</v>
      </c>
      <c r="E282" s="18">
        <v>16.0</v>
      </c>
      <c r="F282" s="18">
        <v>10.0</v>
      </c>
      <c r="G282" s="18" t="s">
        <v>75</v>
      </c>
      <c r="H282" s="32">
        <v>45961.447593414356</v>
      </c>
    </row>
    <row r="283">
      <c r="A283" s="45"/>
      <c r="B283" s="17" t="s">
        <v>730</v>
      </c>
      <c r="C283" s="17" t="s">
        <v>731</v>
      </c>
      <c r="D283" s="18" t="s">
        <v>732</v>
      </c>
      <c r="E283" s="18">
        <v>10.0</v>
      </c>
      <c r="F283" s="18">
        <v>10.0</v>
      </c>
      <c r="G283" s="18" t="s">
        <v>75</v>
      </c>
      <c r="H283" s="32">
        <v>45961.44762821759</v>
      </c>
    </row>
    <row r="284">
      <c r="A284" s="45"/>
      <c r="B284" s="17" t="s">
        <v>733</v>
      </c>
      <c r="C284" s="17" t="s">
        <v>734</v>
      </c>
      <c r="D284" s="18" t="s">
        <v>735</v>
      </c>
      <c r="E284" s="18">
        <v>8.0</v>
      </c>
      <c r="F284" s="18">
        <v>10.0</v>
      </c>
      <c r="G284" s="18" t="s">
        <v>75</v>
      </c>
      <c r="H284" s="32">
        <v>45961.44763875</v>
      </c>
    </row>
    <row r="285">
      <c r="A285" s="45"/>
      <c r="B285" s="17" t="s">
        <v>736</v>
      </c>
      <c r="C285" s="17" t="s">
        <v>737</v>
      </c>
      <c r="D285" s="18" t="s">
        <v>738</v>
      </c>
      <c r="E285" s="18">
        <f>4</f>
        <v>4</v>
      </c>
      <c r="F285" s="9"/>
      <c r="G285" s="18" t="s">
        <v>203</v>
      </c>
      <c r="H285" s="32">
        <v>46092.33528305555</v>
      </c>
    </row>
    <row r="286">
      <c r="A286" s="45"/>
      <c r="B286" s="17" t="s">
        <v>739</v>
      </c>
      <c r="C286" s="17" t="s">
        <v>740</v>
      </c>
      <c r="D286" s="18" t="s">
        <v>741</v>
      </c>
      <c r="E286" s="18">
        <f>9</f>
        <v>9</v>
      </c>
      <c r="F286" s="9"/>
      <c r="G286" s="9" t="s">
        <v>203</v>
      </c>
      <c r="H286" s="32">
        <v>46092.33264325232</v>
      </c>
    </row>
    <row r="287">
      <c r="A287" s="45"/>
      <c r="B287" s="17" t="s">
        <v>742</v>
      </c>
      <c r="C287" s="17" t="s">
        <v>743</v>
      </c>
      <c r="D287" s="18" t="s">
        <v>744</v>
      </c>
      <c r="E287" s="42">
        <f>16-1-2</f>
        <v>13</v>
      </c>
      <c r="F287" s="9"/>
      <c r="G287" s="9" t="s">
        <v>203</v>
      </c>
      <c r="H287" s="76">
        <v>46112.68409577546</v>
      </c>
    </row>
    <row r="288">
      <c r="A288" s="45"/>
      <c r="B288" s="17" t="s">
        <v>745</v>
      </c>
      <c r="C288" s="17" t="s">
        <v>746</v>
      </c>
      <c r="D288" s="18" t="s">
        <v>747</v>
      </c>
      <c r="E288" s="18">
        <f>6-4</f>
        <v>2</v>
      </c>
      <c r="F288" s="9"/>
      <c r="G288" s="9" t="s">
        <v>203</v>
      </c>
      <c r="H288" s="76">
        <v>46113.417080694446</v>
      </c>
    </row>
    <row r="289">
      <c r="A289" s="45"/>
      <c r="B289" s="39" t="s">
        <v>748</v>
      </c>
      <c r="C289" s="17" t="s">
        <v>749</v>
      </c>
      <c r="D289" s="18" t="s">
        <v>750</v>
      </c>
      <c r="E289" s="18">
        <f>0</f>
        <v>0</v>
      </c>
      <c r="F289" s="18"/>
      <c r="G289" s="18" t="s">
        <v>203</v>
      </c>
      <c r="H289" s="32">
        <v>46092.33428293982</v>
      </c>
    </row>
    <row r="290">
      <c r="A290" s="45"/>
      <c r="B290" s="17" t="s">
        <v>751</v>
      </c>
      <c r="C290" s="17" t="s">
        <v>752</v>
      </c>
      <c r="D290" s="18" t="s">
        <v>753</v>
      </c>
      <c r="E290" s="9">
        <f>3</f>
        <v>3</v>
      </c>
      <c r="F290" s="9"/>
      <c r="G290" s="9" t="s">
        <v>203</v>
      </c>
      <c r="H290" s="76">
        <v>46092.3319869213</v>
      </c>
    </row>
    <row r="291">
      <c r="A291" s="45"/>
      <c r="B291" s="17" t="s">
        <v>754</v>
      </c>
      <c r="C291" s="17" t="s">
        <v>755</v>
      </c>
      <c r="D291" s="18" t="s">
        <v>756</v>
      </c>
      <c r="E291" s="18">
        <v>0.0</v>
      </c>
      <c r="F291" s="9"/>
      <c r="G291" s="18" t="s">
        <v>75</v>
      </c>
      <c r="H291" s="23">
        <v>43936.0</v>
      </c>
    </row>
    <row r="292">
      <c r="A292" s="45"/>
      <c r="B292" s="17" t="s">
        <v>754</v>
      </c>
      <c r="C292" s="17" t="s">
        <v>755</v>
      </c>
      <c r="D292" s="18" t="s">
        <v>413</v>
      </c>
      <c r="E292" s="18">
        <v>4.0</v>
      </c>
      <c r="F292" s="9"/>
      <c r="G292" s="18" t="s">
        <v>203</v>
      </c>
      <c r="H292" s="23">
        <v>44424.0</v>
      </c>
    </row>
    <row r="293">
      <c r="A293" s="45"/>
      <c r="B293" s="17" t="s">
        <v>757</v>
      </c>
      <c r="C293" s="17" t="s">
        <v>758</v>
      </c>
      <c r="D293" s="18" t="s">
        <v>413</v>
      </c>
      <c r="E293" s="18"/>
      <c r="F293" s="9"/>
      <c r="G293" s="18" t="s">
        <v>203</v>
      </c>
      <c r="H293" s="23">
        <v>44424.0</v>
      </c>
    </row>
    <row r="294">
      <c r="A294" s="45"/>
      <c r="B294" s="17" t="s">
        <v>759</v>
      </c>
      <c r="C294" s="17" t="s">
        <v>760</v>
      </c>
      <c r="D294" s="18" t="s">
        <v>761</v>
      </c>
      <c r="E294" s="18">
        <v>30.0</v>
      </c>
      <c r="F294" s="18">
        <v>20.0</v>
      </c>
      <c r="G294" s="18" t="s">
        <v>75</v>
      </c>
      <c r="H294" s="32">
        <v>46070.49615288194</v>
      </c>
    </row>
    <row r="295">
      <c r="A295" s="45"/>
      <c r="B295" s="17" t="s">
        <v>762</v>
      </c>
      <c r="C295" s="17" t="s">
        <v>763</v>
      </c>
      <c r="D295" s="18" t="s">
        <v>761</v>
      </c>
      <c r="E295" s="18">
        <f>440-6-6-24-3-6</f>
        <v>395</v>
      </c>
      <c r="F295" s="18">
        <v>50.0</v>
      </c>
      <c r="G295" s="18" t="s">
        <v>75</v>
      </c>
      <c r="H295" s="32">
        <v>46139.40634366898</v>
      </c>
    </row>
    <row r="296">
      <c r="A296" s="45"/>
      <c r="B296" s="17" t="s">
        <v>764</v>
      </c>
      <c r="C296" s="17" t="s">
        <v>765</v>
      </c>
      <c r="D296" s="18" t="s">
        <v>766</v>
      </c>
      <c r="E296" s="18">
        <v>43.0</v>
      </c>
      <c r="F296" s="9">
        <f t="shared" ref="F296:F305" si="1">F295</f>
        <v>50</v>
      </c>
      <c r="G296" s="18" t="s">
        <v>75</v>
      </c>
      <c r="H296" s="32">
        <v>46106.56155601852</v>
      </c>
    </row>
    <row r="297">
      <c r="A297" s="45"/>
      <c r="B297" s="17" t="s">
        <v>767</v>
      </c>
      <c r="C297" s="17" t="s">
        <v>768</v>
      </c>
      <c r="D297" s="18" t="s">
        <v>769</v>
      </c>
      <c r="E297" s="18">
        <v>434.0</v>
      </c>
      <c r="F297" s="9">
        <f t="shared" si="1"/>
        <v>50</v>
      </c>
      <c r="G297" s="18" t="s">
        <v>75</v>
      </c>
      <c r="H297" s="23">
        <v>45565.0</v>
      </c>
    </row>
    <row r="298">
      <c r="A298" s="45"/>
      <c r="B298" s="17" t="s">
        <v>770</v>
      </c>
      <c r="C298" s="17" t="s">
        <v>771</v>
      </c>
      <c r="D298" s="18" t="s">
        <v>772</v>
      </c>
      <c r="E298" s="18">
        <f>265-36-3-3-3-3</f>
        <v>217</v>
      </c>
      <c r="F298" s="9">
        <f t="shared" si="1"/>
        <v>50</v>
      </c>
      <c r="G298" s="18" t="s">
        <v>75</v>
      </c>
      <c r="H298" s="32">
        <v>46106.54400181713</v>
      </c>
    </row>
    <row r="299">
      <c r="A299" s="45"/>
      <c r="B299" s="17" t="s">
        <v>773</v>
      </c>
      <c r="C299" s="17" t="s">
        <v>774</v>
      </c>
      <c r="D299" s="18" t="s">
        <v>775</v>
      </c>
      <c r="E299" s="18">
        <v>383.0</v>
      </c>
      <c r="F299" s="9">
        <f t="shared" si="1"/>
        <v>50</v>
      </c>
      <c r="G299" s="18" t="s">
        <v>75</v>
      </c>
      <c r="H299" s="32">
        <v>46106.63649351852</v>
      </c>
    </row>
    <row r="300">
      <c r="A300" s="45"/>
      <c r="B300" s="17" t="s">
        <v>776</v>
      </c>
      <c r="C300" s="17" t="s">
        <v>777</v>
      </c>
      <c r="D300" s="18" t="s">
        <v>778</v>
      </c>
      <c r="E300" s="18">
        <v>199.0</v>
      </c>
      <c r="F300" s="9">
        <f t="shared" si="1"/>
        <v>50</v>
      </c>
      <c r="G300" s="18" t="s">
        <v>75</v>
      </c>
      <c r="H300" s="23">
        <v>45565.0</v>
      </c>
    </row>
    <row r="301">
      <c r="A301" s="45"/>
      <c r="B301" s="17" t="s">
        <v>779</v>
      </c>
      <c r="C301" s="17" t="s">
        <v>780</v>
      </c>
      <c r="D301" s="18" t="s">
        <v>781</v>
      </c>
      <c r="E301" s="18">
        <f>264-3-4-3</f>
        <v>254</v>
      </c>
      <c r="F301" s="9">
        <f t="shared" si="1"/>
        <v>50</v>
      </c>
      <c r="G301" s="18" t="s">
        <v>75</v>
      </c>
      <c r="H301" s="32">
        <v>46106.636887175926</v>
      </c>
    </row>
    <row r="302">
      <c r="A302" s="45"/>
      <c r="B302" s="17" t="s">
        <v>782</v>
      </c>
      <c r="C302" s="17" t="s">
        <v>783</v>
      </c>
      <c r="D302" s="18" t="s">
        <v>784</v>
      </c>
      <c r="E302" s="18">
        <v>363.0</v>
      </c>
      <c r="F302" s="9">
        <f t="shared" si="1"/>
        <v>50</v>
      </c>
      <c r="G302" s="18" t="s">
        <v>75</v>
      </c>
      <c r="H302" s="23">
        <v>45565.0</v>
      </c>
    </row>
    <row r="303">
      <c r="A303" s="45"/>
      <c r="B303" s="17" t="s">
        <v>785</v>
      </c>
      <c r="C303" s="17" t="s">
        <v>786</v>
      </c>
      <c r="D303" s="18" t="s">
        <v>787</v>
      </c>
      <c r="E303" s="18">
        <v>186.0</v>
      </c>
      <c r="F303" s="9">
        <f t="shared" si="1"/>
        <v>50</v>
      </c>
      <c r="G303" s="18" t="s">
        <v>75</v>
      </c>
      <c r="H303" s="23">
        <v>45667.0</v>
      </c>
    </row>
    <row r="304">
      <c r="A304" s="45"/>
      <c r="B304" s="17" t="s">
        <v>788</v>
      </c>
      <c r="C304" s="17" t="s">
        <v>789</v>
      </c>
      <c r="D304" s="18" t="s">
        <v>790</v>
      </c>
      <c r="E304" s="18">
        <f>270-24-3</f>
        <v>243</v>
      </c>
      <c r="F304" s="9">
        <f t="shared" si="1"/>
        <v>50</v>
      </c>
      <c r="G304" s="18" t="s">
        <v>75</v>
      </c>
      <c r="H304" s="32">
        <v>46106.54614190973</v>
      </c>
    </row>
    <row r="305">
      <c r="A305" s="45"/>
      <c r="B305" s="84" t="s">
        <v>791</v>
      </c>
      <c r="C305" s="84" t="s">
        <v>792</v>
      </c>
      <c r="D305" s="18" t="s">
        <v>168</v>
      </c>
      <c r="E305" s="18">
        <v>363.0</v>
      </c>
      <c r="F305" s="9">
        <f t="shared" si="1"/>
        <v>50</v>
      </c>
      <c r="G305" s="18" t="s">
        <v>75</v>
      </c>
      <c r="H305" s="23">
        <v>44281.0</v>
      </c>
    </row>
    <row r="306">
      <c r="A306" s="45"/>
      <c r="B306" s="85" t="s">
        <v>793</v>
      </c>
      <c r="C306" s="86" t="s">
        <v>794</v>
      </c>
      <c r="D306" s="9" t="s">
        <v>208</v>
      </c>
      <c r="E306" s="9">
        <v>18.0</v>
      </c>
      <c r="F306" s="18">
        <v>100.0</v>
      </c>
      <c r="G306" s="9" t="s">
        <v>75</v>
      </c>
      <c r="H306" s="23">
        <v>41925.0</v>
      </c>
      <c r="I306" s="11" t="s">
        <v>795</v>
      </c>
    </row>
    <row r="307">
      <c r="A307" s="45"/>
      <c r="B307" s="17" t="s">
        <v>796</v>
      </c>
      <c r="C307" s="17" t="s">
        <v>797</v>
      </c>
      <c r="D307" s="18" t="s">
        <v>798</v>
      </c>
      <c r="E307" s="18">
        <f>217-4</f>
        <v>213</v>
      </c>
      <c r="F307" s="18">
        <v>100.0</v>
      </c>
      <c r="G307" s="18" t="s">
        <v>75</v>
      </c>
      <c r="H307" s="32">
        <v>46063.39209032407</v>
      </c>
    </row>
    <row r="308">
      <c r="A308" s="45"/>
      <c r="B308" s="84" t="s">
        <v>799</v>
      </c>
      <c r="C308" s="17" t="s">
        <v>800</v>
      </c>
      <c r="D308" s="18" t="s">
        <v>451</v>
      </c>
      <c r="E308" s="18">
        <v>247.0</v>
      </c>
      <c r="F308" s="18">
        <v>100.0</v>
      </c>
      <c r="G308" s="18" t="s">
        <v>75</v>
      </c>
      <c r="H308" s="32">
        <v>46106.5562459838</v>
      </c>
    </row>
    <row r="309">
      <c r="A309" s="45"/>
      <c r="B309" s="84" t="s">
        <v>801</v>
      </c>
      <c r="C309" s="17" t="s">
        <v>802</v>
      </c>
      <c r="D309" s="18" t="s">
        <v>803</v>
      </c>
      <c r="E309" s="18">
        <v>290.0</v>
      </c>
      <c r="F309" s="18">
        <v>100.0</v>
      </c>
      <c r="G309" s="18" t="s">
        <v>75</v>
      </c>
      <c r="H309" s="23">
        <v>43864.0</v>
      </c>
    </row>
    <row r="310">
      <c r="A310" s="45"/>
      <c r="B310" s="84" t="s">
        <v>804</v>
      </c>
      <c r="C310" s="17" t="s">
        <v>805</v>
      </c>
      <c r="D310" s="18" t="s">
        <v>803</v>
      </c>
      <c r="E310" s="18">
        <v>338.0</v>
      </c>
      <c r="F310" s="18">
        <v>100.0</v>
      </c>
      <c r="G310" s="18" t="s">
        <v>75</v>
      </c>
      <c r="H310" s="32">
        <v>46069.56963125</v>
      </c>
    </row>
    <row r="311">
      <c r="A311" s="45"/>
      <c r="B311" s="84" t="s">
        <v>806</v>
      </c>
      <c r="C311" s="17" t="s">
        <v>807</v>
      </c>
      <c r="D311" s="18" t="s">
        <v>276</v>
      </c>
      <c r="E311" s="18">
        <v>370.0</v>
      </c>
      <c r="F311" s="18">
        <v>100.0</v>
      </c>
      <c r="G311" s="18" t="s">
        <v>75</v>
      </c>
      <c r="H311" s="32">
        <v>46106.541696932865</v>
      </c>
    </row>
    <row r="312">
      <c r="A312" s="45"/>
      <c r="B312" s="84" t="s">
        <v>808</v>
      </c>
      <c r="C312" s="17" t="s">
        <v>809</v>
      </c>
      <c r="D312" s="18" t="s">
        <v>276</v>
      </c>
      <c r="E312" s="18">
        <v>646.0</v>
      </c>
      <c r="F312" s="18">
        <v>100.0</v>
      </c>
      <c r="G312" s="18" t="s">
        <v>75</v>
      </c>
      <c r="H312" s="32">
        <v>46106.571565833336</v>
      </c>
    </row>
    <row r="313">
      <c r="A313" s="45"/>
      <c r="B313" s="87" t="s">
        <v>810</v>
      </c>
      <c r="C313" s="8" t="s">
        <v>811</v>
      </c>
      <c r="D313" s="9" t="s">
        <v>812</v>
      </c>
      <c r="E313" s="18">
        <v>82.0</v>
      </c>
      <c r="F313" s="9"/>
      <c r="G313" s="9" t="s">
        <v>75</v>
      </c>
      <c r="H313" s="32">
        <v>46163.470224398145</v>
      </c>
    </row>
    <row r="314">
      <c r="A314" s="45"/>
      <c r="B314" s="87" t="s">
        <v>813</v>
      </c>
      <c r="C314" s="8" t="s">
        <v>811</v>
      </c>
      <c r="D314" s="9" t="s">
        <v>814</v>
      </c>
      <c r="E314" s="88">
        <v>0.0</v>
      </c>
      <c r="F314" s="9"/>
      <c r="G314" s="9" t="s">
        <v>75</v>
      </c>
      <c r="H314" s="23">
        <v>43558.0</v>
      </c>
    </row>
    <row r="315">
      <c r="A315" s="45"/>
      <c r="B315" s="8" t="s">
        <v>815</v>
      </c>
      <c r="C315" s="8" t="s">
        <v>816</v>
      </c>
      <c r="D315" s="9" t="s">
        <v>814</v>
      </c>
      <c r="E315" s="88">
        <v>0.0</v>
      </c>
      <c r="F315" s="9"/>
      <c r="G315" s="9" t="s">
        <v>75</v>
      </c>
      <c r="H315" s="23">
        <v>43558.0</v>
      </c>
    </row>
    <row r="316">
      <c r="A316" s="45"/>
      <c r="B316" s="8" t="s">
        <v>815</v>
      </c>
      <c r="C316" s="8" t="s">
        <v>817</v>
      </c>
      <c r="D316" s="41"/>
      <c r="E316" s="41"/>
      <c r="F316" s="9"/>
      <c r="G316" s="9" t="s">
        <v>75</v>
      </c>
      <c r="H316" s="25"/>
    </row>
    <row r="317">
      <c r="A317" s="45"/>
      <c r="B317" s="8" t="s">
        <v>818</v>
      </c>
      <c r="C317" s="17" t="s">
        <v>819</v>
      </c>
      <c r="D317" s="9" t="s">
        <v>820</v>
      </c>
      <c r="E317" s="18">
        <v>0.0</v>
      </c>
      <c r="F317" s="9"/>
      <c r="G317" s="9" t="s">
        <v>75</v>
      </c>
      <c r="H317" s="59">
        <v>43558.0</v>
      </c>
    </row>
    <row r="318">
      <c r="A318" s="45"/>
      <c r="B318" s="8" t="s">
        <v>821</v>
      </c>
      <c r="C318" s="8" t="s">
        <v>822</v>
      </c>
      <c r="D318" s="9" t="s">
        <v>823</v>
      </c>
      <c r="E318" s="18">
        <v>0.0</v>
      </c>
      <c r="F318" s="9"/>
      <c r="G318" s="9" t="s">
        <v>75</v>
      </c>
      <c r="H318" s="23">
        <v>43558.0</v>
      </c>
    </row>
    <row r="319">
      <c r="A319" s="45"/>
      <c r="B319" s="8" t="s">
        <v>824</v>
      </c>
      <c r="C319" s="8" t="s">
        <v>825</v>
      </c>
      <c r="D319" s="9" t="s">
        <v>826</v>
      </c>
      <c r="E319" s="18">
        <v>2.0</v>
      </c>
      <c r="F319" s="9"/>
      <c r="G319" s="9" t="s">
        <v>75</v>
      </c>
      <c r="H319" s="23">
        <v>43558.0</v>
      </c>
    </row>
    <row r="320">
      <c r="A320" s="45"/>
      <c r="B320" s="8" t="s">
        <v>827</v>
      </c>
      <c r="C320" s="8" t="s">
        <v>828</v>
      </c>
      <c r="D320" s="9" t="s">
        <v>829</v>
      </c>
      <c r="E320" s="18">
        <v>0.0</v>
      </c>
      <c r="F320" s="9"/>
      <c r="G320" s="9" t="s">
        <v>75</v>
      </c>
      <c r="H320" s="23">
        <v>43558.0</v>
      </c>
      <c r="I320" s="11" t="s">
        <v>830</v>
      </c>
    </row>
    <row r="321">
      <c r="A321" s="45"/>
      <c r="B321" s="17" t="s">
        <v>831</v>
      </c>
      <c r="C321" s="17" t="s">
        <v>832</v>
      </c>
      <c r="D321" s="18" t="s">
        <v>833</v>
      </c>
      <c r="E321" s="66">
        <f>159-2</f>
        <v>157</v>
      </c>
      <c r="F321" s="18">
        <v>50.0</v>
      </c>
      <c r="G321" s="18" t="s">
        <v>75</v>
      </c>
      <c r="H321" s="32">
        <v>46062.36592186343</v>
      </c>
    </row>
    <row r="322">
      <c r="A322" s="45"/>
      <c r="B322" s="84" t="s">
        <v>834</v>
      </c>
      <c r="C322" s="17" t="s">
        <v>835</v>
      </c>
      <c r="D322" s="18" t="s">
        <v>836</v>
      </c>
      <c r="E322" s="18">
        <f>115-3</f>
        <v>112</v>
      </c>
      <c r="F322" s="18">
        <v>50.0</v>
      </c>
      <c r="G322" s="18" t="s">
        <v>75</v>
      </c>
      <c r="H322" s="32">
        <v>46139.39908483796</v>
      </c>
    </row>
    <row r="323">
      <c r="A323" s="45"/>
      <c r="B323" s="84" t="s">
        <v>837</v>
      </c>
      <c r="C323" s="17" t="s">
        <v>838</v>
      </c>
      <c r="D323" s="18" t="s">
        <v>839</v>
      </c>
      <c r="E323" s="18">
        <v>12.0</v>
      </c>
      <c r="F323" s="18">
        <v>50.0</v>
      </c>
      <c r="G323" s="18" t="s">
        <v>75</v>
      </c>
      <c r="H323" s="32">
        <v>46070.497282013894</v>
      </c>
      <c r="I323" s="86" t="s">
        <v>840</v>
      </c>
    </row>
    <row r="324">
      <c r="A324" s="45"/>
      <c r="B324" s="84" t="s">
        <v>841</v>
      </c>
      <c r="C324" s="17" t="s">
        <v>842</v>
      </c>
      <c r="D324" s="18" t="s">
        <v>839</v>
      </c>
      <c r="E324" s="18">
        <v>25.0</v>
      </c>
      <c r="F324" s="18">
        <v>0.0</v>
      </c>
      <c r="G324" s="18" t="s">
        <v>75</v>
      </c>
      <c r="H324" s="32">
        <v>46070.49495064815</v>
      </c>
      <c r="I324" s="86"/>
    </row>
    <row r="325">
      <c r="A325" s="45"/>
      <c r="B325" s="84" t="s">
        <v>843</v>
      </c>
      <c r="C325" s="17" t="s">
        <v>844</v>
      </c>
      <c r="D325" s="18" t="s">
        <v>845</v>
      </c>
      <c r="E325" s="18">
        <f>84-3</f>
        <v>81</v>
      </c>
      <c r="F325" s="18">
        <v>50.0</v>
      </c>
      <c r="G325" s="18" t="s">
        <v>75</v>
      </c>
      <c r="H325" s="32">
        <v>46139.39855050926</v>
      </c>
    </row>
    <row r="326">
      <c r="A326" s="45"/>
      <c r="B326" s="84" t="s">
        <v>846</v>
      </c>
      <c r="C326" s="17" t="s">
        <v>847</v>
      </c>
      <c r="D326" s="18" t="s">
        <v>848</v>
      </c>
      <c r="E326" s="18">
        <v>59.0</v>
      </c>
      <c r="F326" s="9"/>
      <c r="G326" s="9" t="s">
        <v>75</v>
      </c>
      <c r="H326" s="17" t="s">
        <v>133</v>
      </c>
    </row>
    <row r="327">
      <c r="A327" s="45"/>
      <c r="B327" s="89" t="s">
        <v>849</v>
      </c>
      <c r="C327" s="17" t="s">
        <v>850</v>
      </c>
      <c r="D327" s="9" t="s">
        <v>851</v>
      </c>
      <c r="E327" s="18">
        <v>10.0</v>
      </c>
      <c r="F327" s="9"/>
      <c r="G327" s="9" t="s">
        <v>75</v>
      </c>
      <c r="H327" s="23">
        <v>43558.0</v>
      </c>
    </row>
    <row r="328">
      <c r="A328" s="45"/>
      <c r="B328" s="87" t="s">
        <v>852</v>
      </c>
      <c r="C328" s="8" t="s">
        <v>853</v>
      </c>
      <c r="D328" s="9" t="s">
        <v>854</v>
      </c>
      <c r="E328" s="18">
        <v>25.0</v>
      </c>
      <c r="F328" s="9"/>
      <c r="G328" s="9" t="s">
        <v>75</v>
      </c>
      <c r="H328" s="23">
        <v>43558.0</v>
      </c>
    </row>
    <row r="329">
      <c r="A329" s="45"/>
      <c r="B329" s="90" t="s">
        <v>855</v>
      </c>
      <c r="C329" s="8" t="s">
        <v>856</v>
      </c>
      <c r="D329" s="9" t="s">
        <v>857</v>
      </c>
      <c r="E329" s="18">
        <v>6.0</v>
      </c>
      <c r="F329" s="9"/>
      <c r="G329" s="9" t="s">
        <v>75</v>
      </c>
      <c r="H329" s="23">
        <v>43558.0</v>
      </c>
    </row>
    <row r="330">
      <c r="A330" s="45"/>
      <c r="B330" s="87" t="s">
        <v>858</v>
      </c>
      <c r="C330" s="8" t="s">
        <v>859</v>
      </c>
      <c r="D330" s="9" t="s">
        <v>860</v>
      </c>
      <c r="E330" s="18">
        <v>24.0</v>
      </c>
      <c r="F330" s="9"/>
      <c r="G330" s="9" t="s">
        <v>75</v>
      </c>
      <c r="H330" s="14">
        <v>43558.0</v>
      </c>
    </row>
    <row r="331">
      <c r="A331" s="45"/>
      <c r="B331" s="87" t="s">
        <v>861</v>
      </c>
      <c r="C331" s="8" t="s">
        <v>862</v>
      </c>
      <c r="D331" s="9" t="s">
        <v>863</v>
      </c>
      <c r="E331" s="18">
        <v>1.0</v>
      </c>
      <c r="F331" s="9"/>
      <c r="G331" s="9" t="s">
        <v>75</v>
      </c>
      <c r="H331" s="14">
        <v>43558.0</v>
      </c>
    </row>
    <row r="332">
      <c r="A332" s="45"/>
      <c r="B332" s="87" t="s">
        <v>864</v>
      </c>
      <c r="C332" s="8" t="s">
        <v>865</v>
      </c>
      <c r="D332" s="9" t="s">
        <v>866</v>
      </c>
      <c r="E332" s="9">
        <v>0.0</v>
      </c>
      <c r="F332" s="9"/>
      <c r="G332" s="9" t="s">
        <v>75</v>
      </c>
      <c r="H332" s="23">
        <v>45681.0</v>
      </c>
    </row>
    <row r="333">
      <c r="A333" s="45"/>
      <c r="B333" s="91" t="s">
        <v>867</v>
      </c>
      <c r="C333" s="8" t="s">
        <v>868</v>
      </c>
      <c r="D333" s="9" t="s">
        <v>869</v>
      </c>
      <c r="E333" s="18">
        <v>22.0</v>
      </c>
      <c r="F333" s="9"/>
      <c r="G333" s="9" t="s">
        <v>75</v>
      </c>
      <c r="H333" s="23">
        <v>43558.0</v>
      </c>
    </row>
    <row r="334">
      <c r="A334" s="45"/>
      <c r="B334" s="8" t="s">
        <v>870</v>
      </c>
      <c r="C334" s="8" t="s">
        <v>871</v>
      </c>
      <c r="D334" s="9" t="s">
        <v>872</v>
      </c>
      <c r="E334" s="18">
        <v>0.0</v>
      </c>
      <c r="F334" s="9"/>
      <c r="G334" s="9" t="s">
        <v>75</v>
      </c>
      <c r="H334" s="23">
        <v>43558.0</v>
      </c>
    </row>
    <row r="335">
      <c r="A335" s="45"/>
      <c r="B335" s="91" t="s">
        <v>873</v>
      </c>
      <c r="C335" s="8" t="s">
        <v>874</v>
      </c>
      <c r="D335" s="9" t="s">
        <v>875</v>
      </c>
      <c r="E335" s="66">
        <v>32.0</v>
      </c>
      <c r="F335" s="9"/>
      <c r="G335" s="9" t="s">
        <v>75</v>
      </c>
      <c r="H335" s="23">
        <v>43558.0</v>
      </c>
    </row>
    <row r="336">
      <c r="A336" s="45"/>
      <c r="B336" s="8" t="s">
        <v>876</v>
      </c>
      <c r="C336" s="8" t="s">
        <v>877</v>
      </c>
      <c r="D336" s="9" t="s">
        <v>878</v>
      </c>
      <c r="E336" s="18">
        <v>13.0</v>
      </c>
      <c r="F336" s="9"/>
      <c r="G336" s="9" t="s">
        <v>75</v>
      </c>
      <c r="H336" s="14">
        <v>43558.0</v>
      </c>
    </row>
    <row r="337">
      <c r="A337" s="45"/>
      <c r="B337" s="8" t="s">
        <v>879</v>
      </c>
      <c r="C337" s="8" t="s">
        <v>880</v>
      </c>
      <c r="D337" s="9" t="s">
        <v>881</v>
      </c>
      <c r="E337" s="18">
        <v>5.0</v>
      </c>
      <c r="F337" s="9"/>
      <c r="G337" s="9" t="s">
        <v>75</v>
      </c>
      <c r="H337" s="14">
        <v>43558.0</v>
      </c>
    </row>
    <row r="338">
      <c r="A338" s="45"/>
      <c r="B338" s="8" t="s">
        <v>882</v>
      </c>
      <c r="C338" s="8" t="s">
        <v>883</v>
      </c>
      <c r="D338" s="9" t="s">
        <v>884</v>
      </c>
      <c r="E338" s="18">
        <v>0.0</v>
      </c>
      <c r="F338" s="9"/>
      <c r="G338" s="9" t="s">
        <v>75</v>
      </c>
      <c r="H338" s="14">
        <v>44413.0</v>
      </c>
    </row>
    <row r="339">
      <c r="A339" s="45"/>
      <c r="B339" s="8" t="s">
        <v>885</v>
      </c>
      <c r="C339" s="8" t="s">
        <v>886</v>
      </c>
      <c r="D339" s="9" t="s">
        <v>215</v>
      </c>
      <c r="E339" s="18">
        <v>0.0</v>
      </c>
      <c r="F339" s="9"/>
      <c r="G339" s="9" t="s">
        <v>75</v>
      </c>
      <c r="H339" s="14">
        <v>44413.0</v>
      </c>
    </row>
    <row r="340">
      <c r="A340" s="45"/>
      <c r="B340" s="8" t="s">
        <v>887</v>
      </c>
      <c r="C340" s="8" t="s">
        <v>888</v>
      </c>
      <c r="D340" s="9" t="s">
        <v>889</v>
      </c>
      <c r="E340" s="18">
        <v>20.0</v>
      </c>
      <c r="F340" s="9"/>
      <c r="G340" s="9" t="s">
        <v>75</v>
      </c>
      <c r="H340" s="14">
        <v>45681.0</v>
      </c>
      <c r="I340" s="86" t="s">
        <v>890</v>
      </c>
    </row>
    <row r="341">
      <c r="A341" s="45"/>
      <c r="B341" s="8" t="s">
        <v>891</v>
      </c>
      <c r="C341" s="8" t="s">
        <v>892</v>
      </c>
      <c r="D341" s="9" t="s">
        <v>202</v>
      </c>
      <c r="E341" s="18">
        <v>0.0</v>
      </c>
      <c r="F341" s="9"/>
      <c r="G341" s="9" t="s">
        <v>75</v>
      </c>
      <c r="H341" s="14">
        <v>44413.0</v>
      </c>
    </row>
    <row r="342">
      <c r="A342" s="45"/>
      <c r="B342" s="8" t="s">
        <v>893</v>
      </c>
      <c r="C342" s="17" t="s">
        <v>894</v>
      </c>
      <c r="D342" s="9" t="s">
        <v>895</v>
      </c>
      <c r="E342" s="18">
        <v>39.0</v>
      </c>
      <c r="F342" s="9"/>
      <c r="G342" s="9" t="s">
        <v>75</v>
      </c>
      <c r="H342" s="14">
        <v>42838.0</v>
      </c>
    </row>
    <row r="343">
      <c r="A343" s="45"/>
      <c r="B343" s="17" t="s">
        <v>896</v>
      </c>
      <c r="C343" s="17" t="s">
        <v>897</v>
      </c>
      <c r="D343" s="18" t="s">
        <v>812</v>
      </c>
      <c r="E343" s="18">
        <v>0.0</v>
      </c>
      <c r="F343" s="18"/>
      <c r="G343" s="18" t="s">
        <v>75</v>
      </c>
      <c r="H343" s="23">
        <v>43558.0</v>
      </c>
    </row>
    <row r="344">
      <c r="A344" s="45"/>
      <c r="B344" s="8" t="s">
        <v>898</v>
      </c>
      <c r="C344" s="8" t="s">
        <v>899</v>
      </c>
      <c r="D344" s="9" t="s">
        <v>900</v>
      </c>
      <c r="E344" s="18">
        <v>38.0</v>
      </c>
      <c r="F344" s="9"/>
      <c r="G344" s="9" t="s">
        <v>75</v>
      </c>
      <c r="H344" s="14">
        <v>43558.0</v>
      </c>
    </row>
    <row r="345">
      <c r="A345" s="45"/>
      <c r="B345" s="8" t="s">
        <v>901</v>
      </c>
      <c r="C345" s="8" t="s">
        <v>902</v>
      </c>
      <c r="D345" s="9" t="s">
        <v>903</v>
      </c>
      <c r="E345" s="18">
        <v>25.0</v>
      </c>
      <c r="F345" s="9"/>
      <c r="G345" s="9" t="s">
        <v>75</v>
      </c>
      <c r="H345" s="14">
        <v>43558.0</v>
      </c>
    </row>
    <row r="346">
      <c r="A346" s="45"/>
      <c r="B346" s="8" t="s">
        <v>904</v>
      </c>
      <c r="C346" s="86" t="s">
        <v>905</v>
      </c>
      <c r="D346" s="9" t="s">
        <v>906</v>
      </c>
      <c r="E346" s="9">
        <v>32.0</v>
      </c>
      <c r="F346" s="9"/>
      <c r="G346" s="9" t="s">
        <v>75</v>
      </c>
      <c r="H346" s="14">
        <v>43558.0</v>
      </c>
    </row>
    <row r="347">
      <c r="A347" s="45"/>
      <c r="B347" s="8" t="s">
        <v>907</v>
      </c>
      <c r="C347" s="8" t="s">
        <v>908</v>
      </c>
      <c r="D347" s="9" t="s">
        <v>909</v>
      </c>
      <c r="E347" s="18">
        <v>6.0</v>
      </c>
      <c r="F347" s="9"/>
      <c r="G347" s="9" t="s">
        <v>75</v>
      </c>
      <c r="H347" s="14">
        <v>44237.0</v>
      </c>
    </row>
    <row r="348">
      <c r="A348" s="45"/>
      <c r="B348" s="17" t="s">
        <v>910</v>
      </c>
      <c r="C348" s="17" t="s">
        <v>911</v>
      </c>
      <c r="D348" s="18" t="s">
        <v>912</v>
      </c>
      <c r="E348" s="18">
        <f>196-2</f>
        <v>194</v>
      </c>
      <c r="F348" s="9"/>
      <c r="G348" s="18" t="s">
        <v>75</v>
      </c>
      <c r="H348" s="32">
        <v>46146.346597916665</v>
      </c>
      <c r="I348" s="11" t="s">
        <v>913</v>
      </c>
    </row>
    <row r="349">
      <c r="A349" s="45"/>
      <c r="B349" s="71" t="s">
        <v>914</v>
      </c>
      <c r="C349" s="17" t="s">
        <v>915</v>
      </c>
      <c r="D349" s="18" t="s">
        <v>916</v>
      </c>
      <c r="E349" s="18">
        <f>26-4-3-8</f>
        <v>11</v>
      </c>
      <c r="F349" s="18">
        <v>50.0</v>
      </c>
      <c r="G349" s="18" t="s">
        <v>75</v>
      </c>
      <c r="H349" s="32">
        <v>46139.50686849537</v>
      </c>
    </row>
    <row r="350">
      <c r="A350" s="45"/>
      <c r="B350" s="71" t="s">
        <v>914</v>
      </c>
      <c r="C350" s="17" t="s">
        <v>915</v>
      </c>
      <c r="D350" s="18" t="s">
        <v>917</v>
      </c>
      <c r="E350" s="18">
        <v>0.0</v>
      </c>
      <c r="F350" s="9"/>
      <c r="G350" s="18" t="s">
        <v>75</v>
      </c>
      <c r="H350" s="32">
        <v>46139.0</v>
      </c>
    </row>
    <row r="351">
      <c r="A351" s="45"/>
      <c r="B351" s="71" t="s">
        <v>918</v>
      </c>
      <c r="C351" s="17" t="s">
        <v>919</v>
      </c>
      <c r="D351" s="18" t="s">
        <v>354</v>
      </c>
      <c r="E351" s="18">
        <f>184-4-3</f>
        <v>177</v>
      </c>
      <c r="F351" s="18"/>
      <c r="G351" s="18" t="s">
        <v>75</v>
      </c>
      <c r="H351" s="32">
        <v>46139.4052065162</v>
      </c>
    </row>
    <row r="352">
      <c r="A352" s="45"/>
      <c r="B352" s="71" t="s">
        <v>920</v>
      </c>
      <c r="C352" s="17" t="s">
        <v>921</v>
      </c>
      <c r="D352" s="18" t="s">
        <v>922</v>
      </c>
      <c r="E352" s="18">
        <v>226.0</v>
      </c>
      <c r="F352" s="18"/>
      <c r="G352" s="18" t="s">
        <v>75</v>
      </c>
      <c r="H352" s="23">
        <v>44386.0</v>
      </c>
    </row>
    <row r="353">
      <c r="A353" s="45"/>
      <c r="B353" s="71" t="s">
        <v>923</v>
      </c>
      <c r="C353" s="8"/>
      <c r="D353" s="18" t="s">
        <v>924</v>
      </c>
      <c r="E353" s="18">
        <v>220.0</v>
      </c>
      <c r="F353" s="18"/>
      <c r="G353" s="18" t="s">
        <v>75</v>
      </c>
      <c r="H353" s="23">
        <v>44389.0</v>
      </c>
    </row>
    <row r="354">
      <c r="A354" s="45"/>
      <c r="B354" s="71" t="s">
        <v>925</v>
      </c>
      <c r="C354" s="17" t="s">
        <v>926</v>
      </c>
      <c r="D354" s="18" t="s">
        <v>927</v>
      </c>
      <c r="E354" s="18">
        <f>150-4-4-30-8-3-3</f>
        <v>98</v>
      </c>
      <c r="F354" s="18">
        <v>50.0</v>
      </c>
      <c r="G354" s="18" t="s">
        <v>75</v>
      </c>
      <c r="H354" s="32">
        <v>46129.466905312496</v>
      </c>
    </row>
    <row r="355">
      <c r="A355" s="45"/>
      <c r="B355" s="71" t="s">
        <v>928</v>
      </c>
      <c r="C355" s="17" t="s">
        <v>929</v>
      </c>
      <c r="D355" s="18" t="s">
        <v>930</v>
      </c>
      <c r="E355" s="18">
        <v>6.0</v>
      </c>
      <c r="F355" s="18">
        <v>3.0</v>
      </c>
      <c r="G355" s="18" t="s">
        <v>75</v>
      </c>
      <c r="H355" s="23">
        <v>45493.0</v>
      </c>
    </row>
    <row r="356">
      <c r="A356" s="45"/>
      <c r="B356" s="71" t="s">
        <v>931</v>
      </c>
      <c r="C356" s="17" t="s">
        <v>932</v>
      </c>
      <c r="D356" s="18" t="s">
        <v>930</v>
      </c>
      <c r="E356" s="18">
        <v>10.0</v>
      </c>
      <c r="F356" s="18">
        <v>6.0</v>
      </c>
      <c r="G356" s="18" t="s">
        <v>75</v>
      </c>
      <c r="H356" s="23">
        <v>45321.0</v>
      </c>
    </row>
    <row r="357">
      <c r="A357" s="45"/>
      <c r="B357" s="71" t="s">
        <v>933</v>
      </c>
      <c r="C357" s="17" t="s">
        <v>934</v>
      </c>
      <c r="D357" s="18" t="s">
        <v>930</v>
      </c>
      <c r="E357" s="18">
        <v>494.0</v>
      </c>
      <c r="F357" s="9"/>
      <c r="G357" s="18" t="s">
        <v>75</v>
      </c>
      <c r="H357" s="23">
        <v>45565.0</v>
      </c>
    </row>
    <row r="358">
      <c r="A358" s="45"/>
      <c r="B358" s="71" t="s">
        <v>935</v>
      </c>
      <c r="C358" s="17" t="s">
        <v>936</v>
      </c>
      <c r="D358" s="18" t="s">
        <v>930</v>
      </c>
      <c r="E358" s="18">
        <v>309.0</v>
      </c>
      <c r="F358" s="9"/>
      <c r="G358" s="18" t="s">
        <v>75</v>
      </c>
      <c r="H358" s="23">
        <v>45565.0</v>
      </c>
    </row>
    <row r="359">
      <c r="A359" s="45"/>
      <c r="B359" s="71" t="s">
        <v>937</v>
      </c>
      <c r="C359" s="17" t="s">
        <v>938</v>
      </c>
      <c r="D359" s="18" t="s">
        <v>276</v>
      </c>
      <c r="E359" s="42">
        <f>183-1-1-1-1</f>
        <v>179</v>
      </c>
      <c r="F359" s="9"/>
      <c r="G359" s="18" t="s">
        <v>75</v>
      </c>
      <c r="H359" s="32">
        <v>46106.5391599537</v>
      </c>
    </row>
    <row r="360">
      <c r="A360" s="45"/>
      <c r="B360" s="71" t="s">
        <v>939</v>
      </c>
      <c r="C360" s="17" t="s">
        <v>940</v>
      </c>
      <c r="D360" s="18" t="s">
        <v>151</v>
      </c>
      <c r="E360" s="18">
        <v>2.0</v>
      </c>
      <c r="F360" s="18">
        <v>6.0</v>
      </c>
      <c r="G360" s="9" t="s">
        <v>75</v>
      </c>
      <c r="H360" s="23">
        <v>45853.0</v>
      </c>
    </row>
    <row r="361">
      <c r="A361" s="45"/>
      <c r="B361" s="92" t="s">
        <v>941</v>
      </c>
      <c r="C361" s="64" t="s">
        <v>942</v>
      </c>
      <c r="D361" s="18"/>
      <c r="E361" s="18">
        <v>123.0</v>
      </c>
      <c r="F361" s="18"/>
      <c r="G361" s="18" t="s">
        <v>75</v>
      </c>
      <c r="H361" s="23">
        <v>45665.0</v>
      </c>
    </row>
    <row r="362">
      <c r="A362" s="45"/>
      <c r="B362" s="71" t="s">
        <v>943</v>
      </c>
      <c r="C362" s="17" t="s">
        <v>944</v>
      </c>
      <c r="D362" s="18" t="s">
        <v>151</v>
      </c>
      <c r="E362" s="18">
        <v>10.0</v>
      </c>
      <c r="F362" s="18">
        <v>5.0</v>
      </c>
      <c r="G362" s="18" t="s">
        <v>75</v>
      </c>
      <c r="H362" s="32">
        <v>46154.44273199074</v>
      </c>
    </row>
    <row r="363">
      <c r="A363" s="45"/>
      <c r="B363" s="71" t="s">
        <v>945</v>
      </c>
      <c r="C363" s="17" t="s">
        <v>946</v>
      </c>
      <c r="D363" s="18" t="s">
        <v>947</v>
      </c>
      <c r="E363" s="18">
        <v>11.0</v>
      </c>
      <c r="F363" s="18">
        <v>5.0</v>
      </c>
      <c r="G363" s="18" t="s">
        <v>75</v>
      </c>
      <c r="H363" s="32">
        <v>46154.41130059028</v>
      </c>
    </row>
    <row r="364">
      <c r="A364" s="45"/>
      <c r="B364" s="71" t="s">
        <v>948</v>
      </c>
      <c r="C364" s="17" t="s">
        <v>949</v>
      </c>
      <c r="D364" s="18" t="s">
        <v>151</v>
      </c>
      <c r="E364" s="18">
        <v>2.0</v>
      </c>
      <c r="F364" s="18">
        <v>1.0</v>
      </c>
      <c r="G364" s="18" t="s">
        <v>75</v>
      </c>
      <c r="H364" s="32">
        <v>46162.39014059027</v>
      </c>
    </row>
    <row r="365">
      <c r="A365" s="45"/>
      <c r="B365" s="71" t="s">
        <v>950</v>
      </c>
      <c r="C365" s="17" t="s">
        <v>951</v>
      </c>
      <c r="D365" s="18" t="s">
        <v>327</v>
      </c>
      <c r="E365" s="18">
        <f>62-3-8-4</f>
        <v>47</v>
      </c>
      <c r="F365" s="9"/>
      <c r="G365" s="18" t="s">
        <v>75</v>
      </c>
      <c r="H365" s="23">
        <v>45908.0</v>
      </c>
    </row>
    <row r="366">
      <c r="A366" s="45"/>
      <c r="B366" s="71" t="s">
        <v>952</v>
      </c>
      <c r="C366" s="17" t="s">
        <v>953</v>
      </c>
      <c r="D366" s="18" t="s">
        <v>327</v>
      </c>
      <c r="E366" s="18">
        <f>109-3-8-4-8</f>
        <v>86</v>
      </c>
      <c r="F366" s="9"/>
      <c r="G366" s="18" t="s">
        <v>75</v>
      </c>
      <c r="H366" s="32">
        <v>46148.38226309028</v>
      </c>
    </row>
    <row r="367">
      <c r="A367" s="45"/>
      <c r="B367" s="71" t="s">
        <v>954</v>
      </c>
      <c r="C367" s="17" t="s">
        <v>955</v>
      </c>
      <c r="D367" s="18" t="s">
        <v>237</v>
      </c>
      <c r="E367" s="18">
        <f>142-4+53-2-1</f>
        <v>188</v>
      </c>
      <c r="F367" s="18">
        <v>50.0</v>
      </c>
      <c r="G367" s="18" t="s">
        <v>75</v>
      </c>
      <c r="H367" s="32">
        <v>46106.60848722223</v>
      </c>
    </row>
    <row r="368">
      <c r="A368" s="93"/>
      <c r="B368" s="94" t="s">
        <v>954</v>
      </c>
      <c r="C368" s="95" t="s">
        <v>956</v>
      </c>
      <c r="D368" s="96" t="s">
        <v>237</v>
      </c>
      <c r="E368" s="97">
        <f>16-8</f>
        <v>8</v>
      </c>
      <c r="F368" s="96"/>
      <c r="G368" s="98" t="s">
        <v>75</v>
      </c>
      <c r="H368" s="99">
        <v>46148.38211351851</v>
      </c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</row>
    <row r="369">
      <c r="A369" s="45"/>
      <c r="B369" s="17" t="s">
        <v>957</v>
      </c>
      <c r="C369" s="17" t="s">
        <v>958</v>
      </c>
      <c r="D369" s="18" t="s">
        <v>237</v>
      </c>
      <c r="E369" s="18">
        <v>127.0</v>
      </c>
      <c r="F369" s="18">
        <v>50.0</v>
      </c>
      <c r="G369" s="18" t="s">
        <v>75</v>
      </c>
      <c r="H369" s="32">
        <v>46106.608301608794</v>
      </c>
    </row>
    <row r="370">
      <c r="A370" s="101"/>
      <c r="B370" s="17" t="s">
        <v>959</v>
      </c>
      <c r="C370" s="17" t="s">
        <v>960</v>
      </c>
      <c r="D370" s="18" t="s">
        <v>237</v>
      </c>
      <c r="E370" s="18">
        <f>426-16-3</f>
        <v>407</v>
      </c>
      <c r="F370" s="18">
        <v>50.0</v>
      </c>
      <c r="G370" s="18" t="s">
        <v>75</v>
      </c>
      <c r="H370" s="32">
        <v>46106.60818674769</v>
      </c>
    </row>
    <row r="371">
      <c r="A371" s="101"/>
      <c r="B371" s="17" t="s">
        <v>961</v>
      </c>
      <c r="C371" s="17" t="s">
        <v>962</v>
      </c>
      <c r="D371" s="18" t="s">
        <v>237</v>
      </c>
      <c r="E371" s="42">
        <f>53-4-3</f>
        <v>46</v>
      </c>
      <c r="F371" s="18">
        <v>25.0</v>
      </c>
      <c r="G371" s="18" t="s">
        <v>75</v>
      </c>
      <c r="H371" s="32">
        <v>46106.608005636575</v>
      </c>
    </row>
    <row r="372">
      <c r="A372" s="45"/>
      <c r="B372" s="17" t="s">
        <v>963</v>
      </c>
      <c r="C372" s="17" t="s">
        <v>964</v>
      </c>
      <c r="D372" s="18" t="s">
        <v>237</v>
      </c>
      <c r="E372" s="18">
        <f>150-4-1</f>
        <v>145</v>
      </c>
      <c r="F372" s="18">
        <v>50.0</v>
      </c>
      <c r="G372" s="18" t="s">
        <v>75</v>
      </c>
      <c r="H372" s="32">
        <v>46106.60787972222</v>
      </c>
    </row>
    <row r="373">
      <c r="A373" s="45"/>
      <c r="B373" s="17" t="s">
        <v>963</v>
      </c>
      <c r="C373" s="17" t="s">
        <v>965</v>
      </c>
      <c r="D373" s="18" t="s">
        <v>237</v>
      </c>
      <c r="E373" s="18">
        <v>1.0</v>
      </c>
      <c r="F373" s="18"/>
      <c r="G373" s="18" t="s">
        <v>75</v>
      </c>
      <c r="H373" s="32">
        <v>46106.615995115746</v>
      </c>
    </row>
    <row r="374">
      <c r="A374" s="45"/>
      <c r="B374" s="17" t="s">
        <v>966</v>
      </c>
      <c r="C374" s="17" t="s">
        <v>967</v>
      </c>
      <c r="D374" s="18" t="s">
        <v>237</v>
      </c>
      <c r="E374" s="18">
        <f>106-16-4+52-1</f>
        <v>137</v>
      </c>
      <c r="F374" s="18">
        <v>50.0</v>
      </c>
      <c r="G374" s="18" t="s">
        <v>75</v>
      </c>
      <c r="H374" s="32">
        <v>46106.6085557176</v>
      </c>
    </row>
    <row r="375">
      <c r="A375" s="45"/>
      <c r="B375" s="17" t="s">
        <v>966</v>
      </c>
      <c r="C375" s="17" t="s">
        <v>968</v>
      </c>
      <c r="D375" s="18" t="s">
        <v>237</v>
      </c>
      <c r="E375" s="18">
        <v>15.0</v>
      </c>
      <c r="F375" s="18">
        <v>50.0</v>
      </c>
      <c r="G375" s="18" t="s">
        <v>75</v>
      </c>
      <c r="H375" s="32">
        <v>46106.616600520836</v>
      </c>
    </row>
    <row r="376">
      <c r="A376" s="101"/>
      <c r="B376" s="8" t="s">
        <v>969</v>
      </c>
      <c r="C376" s="8" t="s">
        <v>970</v>
      </c>
      <c r="D376" s="9" t="s">
        <v>971</v>
      </c>
      <c r="E376" s="18">
        <v>1.0</v>
      </c>
      <c r="F376" s="9"/>
      <c r="G376" s="9" t="s">
        <v>75</v>
      </c>
      <c r="H376" s="23">
        <v>43559.0</v>
      </c>
    </row>
    <row r="377">
      <c r="A377" s="45"/>
      <c r="B377" s="16" t="s">
        <v>972</v>
      </c>
      <c r="C377" s="17" t="s">
        <v>368</v>
      </c>
      <c r="D377" s="18" t="s">
        <v>973</v>
      </c>
      <c r="E377" s="18">
        <v>2.0</v>
      </c>
      <c r="F377" s="9"/>
      <c r="G377" s="9"/>
      <c r="H377" s="14">
        <v>43594.0</v>
      </c>
    </row>
    <row r="378">
      <c r="A378" s="101"/>
      <c r="B378" s="16" t="s">
        <v>974</v>
      </c>
      <c r="C378" s="17" t="s">
        <v>975</v>
      </c>
      <c r="D378" s="18" t="s">
        <v>976</v>
      </c>
      <c r="E378" s="18">
        <v>27.0</v>
      </c>
      <c r="F378" s="9"/>
      <c r="G378" s="18" t="s">
        <v>975</v>
      </c>
      <c r="H378" s="10">
        <v>43594.0</v>
      </c>
    </row>
    <row r="379">
      <c r="A379" s="45"/>
      <c r="B379" s="47" t="s">
        <v>977</v>
      </c>
      <c r="C379" s="17" t="s">
        <v>978</v>
      </c>
      <c r="D379" s="18" t="s">
        <v>979</v>
      </c>
      <c r="E379" s="18">
        <v>118.0</v>
      </c>
      <c r="F379" s="18">
        <v>3.0</v>
      </c>
      <c r="G379" s="18" t="s">
        <v>75</v>
      </c>
      <c r="H379" s="32">
        <v>46064.421465879626</v>
      </c>
    </row>
    <row r="380">
      <c r="A380" s="45"/>
      <c r="B380" s="47" t="s">
        <v>980</v>
      </c>
      <c r="C380" s="11" t="s">
        <v>981</v>
      </c>
      <c r="D380" s="18" t="s">
        <v>982</v>
      </c>
      <c r="E380" s="42">
        <v>96.0</v>
      </c>
      <c r="F380" s="18">
        <v>25.0</v>
      </c>
      <c r="G380" s="18" t="s">
        <v>75</v>
      </c>
      <c r="H380" s="32">
        <v>46064.428233715276</v>
      </c>
    </row>
    <row r="381">
      <c r="A381" s="45"/>
      <c r="B381" s="47" t="s">
        <v>983</v>
      </c>
      <c r="C381" s="17" t="s">
        <v>984</v>
      </c>
      <c r="D381" s="18" t="s">
        <v>979</v>
      </c>
      <c r="E381" s="42">
        <v>103.0</v>
      </c>
      <c r="F381" s="18">
        <v>25.0</v>
      </c>
      <c r="G381" s="18" t="s">
        <v>75</v>
      </c>
      <c r="H381" s="32">
        <v>46064.428333414355</v>
      </c>
    </row>
    <row r="382">
      <c r="A382" s="45"/>
      <c r="B382" s="47" t="s">
        <v>985</v>
      </c>
      <c r="C382" s="17" t="s">
        <v>986</v>
      </c>
      <c r="D382" s="18" t="s">
        <v>979</v>
      </c>
      <c r="E382" s="42">
        <v>116.0</v>
      </c>
      <c r="F382" s="18">
        <v>25.0</v>
      </c>
      <c r="G382" s="18" t="s">
        <v>75</v>
      </c>
      <c r="H382" s="32">
        <v>46064.42838496528</v>
      </c>
    </row>
    <row r="383">
      <c r="A383" s="45"/>
      <c r="B383" s="47" t="s">
        <v>987</v>
      </c>
      <c r="C383" s="17" t="s">
        <v>988</v>
      </c>
      <c r="D383" s="18" t="s">
        <v>979</v>
      </c>
      <c r="E383" s="42">
        <v>153.0</v>
      </c>
      <c r="F383" s="18">
        <v>25.0</v>
      </c>
      <c r="G383" s="18" t="s">
        <v>75</v>
      </c>
      <c r="H383" s="32">
        <v>46064.43065365741</v>
      </c>
    </row>
    <row r="384">
      <c r="A384" s="45"/>
      <c r="B384" s="47" t="s">
        <v>989</v>
      </c>
      <c r="C384" s="17" t="s">
        <v>990</v>
      </c>
      <c r="D384" s="18" t="s">
        <v>979</v>
      </c>
      <c r="E384" s="42">
        <v>0.0</v>
      </c>
      <c r="F384" s="18">
        <v>25.0</v>
      </c>
      <c r="G384" s="18" t="s">
        <v>75</v>
      </c>
      <c r="H384" s="32">
        <v>46064.42925018519</v>
      </c>
    </row>
    <row r="385">
      <c r="A385" s="45"/>
      <c r="B385" s="47" t="s">
        <v>991</v>
      </c>
      <c r="C385" s="17" t="s">
        <v>992</v>
      </c>
      <c r="D385" s="18" t="s">
        <v>979</v>
      </c>
      <c r="E385" s="42">
        <v>110.0</v>
      </c>
      <c r="F385" s="18">
        <v>25.0</v>
      </c>
      <c r="G385" s="18" t="s">
        <v>75</v>
      </c>
      <c r="H385" s="32">
        <v>46064.43042462963</v>
      </c>
    </row>
    <row r="386">
      <c r="A386" s="45"/>
      <c r="B386" s="17" t="s">
        <v>993</v>
      </c>
      <c r="C386" s="17" t="s">
        <v>994</v>
      </c>
      <c r="D386" s="18" t="s">
        <v>982</v>
      </c>
      <c r="E386" s="18">
        <f>10-2-1</f>
        <v>7</v>
      </c>
      <c r="F386" s="18">
        <v>5.0</v>
      </c>
      <c r="G386" s="18" t="s">
        <v>75</v>
      </c>
      <c r="H386" s="32">
        <v>46146.346083819444</v>
      </c>
    </row>
    <row r="387">
      <c r="A387" s="45"/>
      <c r="B387" s="17" t="s">
        <v>995</v>
      </c>
      <c r="C387" s="17" t="s">
        <v>996</v>
      </c>
      <c r="D387" s="18" t="s">
        <v>997</v>
      </c>
      <c r="E387" s="18">
        <f>54-1-4-3</f>
        <v>46</v>
      </c>
      <c r="F387" s="18">
        <v>10.0</v>
      </c>
      <c r="G387" s="18" t="s">
        <v>75</v>
      </c>
      <c r="H387" s="32">
        <v>46129.466079861115</v>
      </c>
    </row>
    <row r="388">
      <c r="A388" s="45"/>
      <c r="B388" s="17" t="s">
        <v>998</v>
      </c>
      <c r="C388" s="67" t="s">
        <v>998</v>
      </c>
      <c r="D388" s="18" t="s">
        <v>647</v>
      </c>
      <c r="E388" s="18">
        <v>0.0</v>
      </c>
      <c r="F388" s="9"/>
      <c r="G388" s="18" t="s">
        <v>75</v>
      </c>
      <c r="H388" s="23">
        <v>43817.0</v>
      </c>
    </row>
    <row r="389">
      <c r="A389" s="45"/>
      <c r="B389" s="7"/>
      <c r="C389" s="17" t="s">
        <v>999</v>
      </c>
      <c r="D389" s="18" t="s">
        <v>1000</v>
      </c>
      <c r="E389" s="9"/>
      <c r="F389" s="9"/>
      <c r="G389" s="9"/>
      <c r="H389" s="10">
        <v>45747.0</v>
      </c>
    </row>
    <row r="390">
      <c r="A390" s="45"/>
      <c r="B390" s="7"/>
      <c r="C390" s="17" t="s">
        <v>1001</v>
      </c>
      <c r="D390" s="18" t="s">
        <v>1002</v>
      </c>
      <c r="E390" s="9"/>
      <c r="F390" s="9"/>
      <c r="G390" s="9"/>
      <c r="H390" s="10">
        <v>45747.0</v>
      </c>
    </row>
    <row r="391">
      <c r="A391" s="45"/>
      <c r="B391" s="7"/>
      <c r="C391" s="17" t="s">
        <v>1003</v>
      </c>
      <c r="D391" s="18" t="s">
        <v>1004</v>
      </c>
      <c r="E391" s="9"/>
      <c r="F391" s="9"/>
      <c r="G391" s="9"/>
      <c r="H391" s="10">
        <v>45747.0</v>
      </c>
    </row>
    <row r="392">
      <c r="A392" s="46"/>
      <c r="B392" s="7"/>
      <c r="C392" s="17" t="s">
        <v>1005</v>
      </c>
      <c r="D392" s="18" t="s">
        <v>1006</v>
      </c>
      <c r="E392" s="9"/>
      <c r="F392" s="9"/>
      <c r="G392" s="9"/>
      <c r="H392" s="10">
        <v>45747.0</v>
      </c>
    </row>
    <row r="393">
      <c r="A393" s="46"/>
      <c r="B393" s="7"/>
      <c r="C393" s="17" t="s">
        <v>1007</v>
      </c>
      <c r="D393" s="18" t="s">
        <v>1008</v>
      </c>
      <c r="E393" s="9"/>
      <c r="F393" s="9"/>
      <c r="G393" s="18" t="s">
        <v>75</v>
      </c>
      <c r="H393" s="10">
        <v>45747.0</v>
      </c>
    </row>
    <row r="394">
      <c r="A394" s="45"/>
      <c r="B394" s="7"/>
      <c r="C394" s="17" t="s">
        <v>1009</v>
      </c>
      <c r="D394" s="18" t="s">
        <v>1010</v>
      </c>
      <c r="E394" s="9"/>
      <c r="F394" s="9"/>
      <c r="G394" s="18" t="s">
        <v>75</v>
      </c>
      <c r="H394" s="10">
        <v>45747.0</v>
      </c>
    </row>
    <row r="395">
      <c r="A395" s="45"/>
      <c r="B395" s="7"/>
      <c r="C395" s="17" t="s">
        <v>1011</v>
      </c>
      <c r="D395" s="18" t="s">
        <v>1012</v>
      </c>
      <c r="E395" s="9"/>
      <c r="F395" s="9"/>
      <c r="G395" s="18" t="s">
        <v>75</v>
      </c>
      <c r="H395" s="10"/>
    </row>
    <row r="396">
      <c r="A396" s="45"/>
      <c r="B396" s="7"/>
      <c r="C396" s="17" t="s">
        <v>1013</v>
      </c>
      <c r="D396" s="9"/>
      <c r="E396" s="9"/>
      <c r="F396" s="9"/>
      <c r="G396" s="18" t="s">
        <v>75</v>
      </c>
      <c r="H396" s="10"/>
      <c r="I396" s="102"/>
    </row>
    <row r="397">
      <c r="A397" s="45"/>
      <c r="B397" s="17"/>
      <c r="C397" s="17" t="s">
        <v>1014</v>
      </c>
      <c r="D397" s="18" t="s">
        <v>242</v>
      </c>
      <c r="E397" s="18">
        <v>1.0</v>
      </c>
      <c r="F397" s="9"/>
      <c r="G397" s="18" t="s">
        <v>75</v>
      </c>
      <c r="H397" s="23"/>
      <c r="I397" s="102"/>
    </row>
    <row r="398">
      <c r="A398" s="45"/>
      <c r="B398" s="7"/>
      <c r="C398" s="17" t="s">
        <v>1015</v>
      </c>
      <c r="D398" s="18" t="s">
        <v>16</v>
      </c>
      <c r="E398" s="18"/>
      <c r="F398" s="9"/>
      <c r="G398" s="18" t="s">
        <v>75</v>
      </c>
      <c r="H398" s="23"/>
    </row>
    <row r="399">
      <c r="A399" s="45"/>
      <c r="B399" s="17"/>
      <c r="C399" s="17" t="s">
        <v>1016</v>
      </c>
      <c r="D399" s="18" t="s">
        <v>231</v>
      </c>
      <c r="E399" s="18">
        <v>11.0</v>
      </c>
      <c r="F399" s="9"/>
      <c r="G399" s="18" t="s">
        <v>75</v>
      </c>
      <c r="H399" s="23">
        <v>43570.0</v>
      </c>
    </row>
    <row r="400">
      <c r="A400" s="45"/>
      <c r="B400" s="17"/>
      <c r="C400" s="17" t="s">
        <v>1017</v>
      </c>
      <c r="D400" s="18" t="s">
        <v>342</v>
      </c>
      <c r="E400" s="18">
        <v>92.0</v>
      </c>
      <c r="F400" s="9"/>
      <c r="G400" s="18" t="s">
        <v>75</v>
      </c>
      <c r="H400" s="23">
        <v>43570.0</v>
      </c>
    </row>
    <row r="401">
      <c r="A401" s="103"/>
      <c r="B401" s="17"/>
      <c r="C401" s="17" t="s">
        <v>1018</v>
      </c>
      <c r="D401" s="18" t="s">
        <v>255</v>
      </c>
      <c r="E401" s="18">
        <v>14.0</v>
      </c>
      <c r="F401" s="9"/>
      <c r="G401" s="18" t="s">
        <v>75</v>
      </c>
      <c r="H401" s="23">
        <v>43570.0</v>
      </c>
      <c r="I401" s="104"/>
    </row>
    <row r="402">
      <c r="A402" s="103"/>
      <c r="B402" s="17"/>
      <c r="C402" s="17" t="s">
        <v>1019</v>
      </c>
      <c r="D402" s="18" t="s">
        <v>271</v>
      </c>
      <c r="E402" s="18">
        <v>0.0</v>
      </c>
      <c r="F402" s="9"/>
      <c r="G402" s="18" t="s">
        <v>75</v>
      </c>
      <c r="H402" s="23">
        <v>43567.0</v>
      </c>
      <c r="I402" s="104"/>
    </row>
    <row r="403">
      <c r="A403" s="103"/>
      <c r="B403" s="17"/>
      <c r="C403" s="17" t="s">
        <v>1020</v>
      </c>
      <c r="D403" s="18" t="s">
        <v>184</v>
      </c>
      <c r="E403" s="42">
        <v>104.0</v>
      </c>
      <c r="F403" s="9"/>
      <c r="G403" s="18" t="s">
        <v>75</v>
      </c>
      <c r="H403" s="14">
        <v>43585.0</v>
      </c>
      <c r="I403" s="104"/>
    </row>
    <row r="404">
      <c r="A404" s="103"/>
      <c r="B404" s="25"/>
      <c r="C404" s="8" t="s">
        <v>1021</v>
      </c>
      <c r="D404" s="9" t="s">
        <v>600</v>
      </c>
      <c r="E404" s="9">
        <v>1.0</v>
      </c>
      <c r="F404" s="41"/>
      <c r="G404" s="41"/>
      <c r="H404" s="25"/>
      <c r="I404" s="104"/>
    </row>
    <row r="405" ht="30.75" customHeight="1">
      <c r="A405" s="103"/>
      <c r="B405" s="105" t="s">
        <v>1022</v>
      </c>
      <c r="C405" s="106"/>
      <c r="D405" s="106"/>
      <c r="E405" s="106"/>
      <c r="F405" s="106"/>
      <c r="G405" s="106"/>
      <c r="H405" s="107"/>
      <c r="I405" s="104"/>
    </row>
    <row r="406">
      <c r="A406" s="103"/>
      <c r="B406" s="28" t="s">
        <v>1023</v>
      </c>
      <c r="C406" s="40" t="s">
        <v>1024</v>
      </c>
      <c r="D406" s="18" t="s">
        <v>413</v>
      </c>
      <c r="E406" s="18">
        <v>12.0</v>
      </c>
      <c r="F406" s="41"/>
      <c r="G406" s="18"/>
      <c r="H406" s="14">
        <v>43812.0</v>
      </c>
      <c r="I406" s="104"/>
    </row>
    <row r="407">
      <c r="A407" s="103"/>
      <c r="B407" s="28" t="s">
        <v>1025</v>
      </c>
      <c r="C407" s="40" t="s">
        <v>1026</v>
      </c>
      <c r="D407" s="18" t="s">
        <v>218</v>
      </c>
      <c r="E407" s="18">
        <v>25.0</v>
      </c>
      <c r="F407" s="41"/>
      <c r="G407" s="18" t="s">
        <v>1022</v>
      </c>
      <c r="H407" s="14">
        <v>45872.0</v>
      </c>
      <c r="I407" s="104"/>
    </row>
    <row r="408">
      <c r="A408" s="103"/>
      <c r="B408" s="28" t="s">
        <v>1027</v>
      </c>
      <c r="C408" s="40" t="s">
        <v>1028</v>
      </c>
      <c r="D408" s="18" t="s">
        <v>1029</v>
      </c>
      <c r="E408" s="18">
        <v>0.0</v>
      </c>
      <c r="F408" s="41"/>
      <c r="G408" s="18" t="s">
        <v>1022</v>
      </c>
      <c r="H408" s="14">
        <v>44977.0</v>
      </c>
      <c r="I408" s="104"/>
    </row>
    <row r="409">
      <c r="A409" s="103"/>
      <c r="B409" s="17" t="s">
        <v>1030</v>
      </c>
      <c r="C409" s="11" t="s">
        <v>1031</v>
      </c>
      <c r="D409" s="18" t="s">
        <v>131</v>
      </c>
      <c r="E409" s="18">
        <v>0.0</v>
      </c>
      <c r="F409" s="41"/>
      <c r="G409" s="18" t="s">
        <v>1022</v>
      </c>
      <c r="H409" s="30">
        <v>44411.0</v>
      </c>
      <c r="I409" s="104"/>
    </row>
    <row r="410">
      <c r="A410" s="103"/>
      <c r="B410" s="17" t="s">
        <v>1032</v>
      </c>
      <c r="C410" s="40" t="s">
        <v>1033</v>
      </c>
      <c r="D410" s="18" t="s">
        <v>131</v>
      </c>
      <c r="E410" s="18">
        <v>0.0</v>
      </c>
      <c r="F410" s="41"/>
      <c r="G410" s="18" t="s">
        <v>1022</v>
      </c>
      <c r="H410" s="30">
        <v>45147.0</v>
      </c>
      <c r="I410" s="104"/>
    </row>
    <row r="411">
      <c r="A411" s="103"/>
      <c r="B411" s="17" t="s">
        <v>1034</v>
      </c>
      <c r="C411" s="17"/>
      <c r="D411" s="18" t="s">
        <v>413</v>
      </c>
      <c r="E411" s="18">
        <v>0.0</v>
      </c>
      <c r="F411" s="41"/>
      <c r="G411" s="18"/>
      <c r="H411" s="14">
        <v>44069.0</v>
      </c>
      <c r="I411" s="104"/>
    </row>
    <row r="412">
      <c r="A412" s="103"/>
      <c r="B412" s="17" t="s">
        <v>1035</v>
      </c>
      <c r="C412" s="17" t="s">
        <v>1036</v>
      </c>
      <c r="D412" s="18" t="s">
        <v>131</v>
      </c>
      <c r="E412" s="18">
        <v>20.0</v>
      </c>
      <c r="F412" s="41"/>
      <c r="G412" s="18" t="s">
        <v>1022</v>
      </c>
      <c r="H412" s="14">
        <v>44739.0</v>
      </c>
      <c r="I412" s="104"/>
    </row>
    <row r="413">
      <c r="A413" s="103"/>
      <c r="B413" s="17" t="s">
        <v>1037</v>
      </c>
      <c r="C413" s="17" t="s">
        <v>1038</v>
      </c>
      <c r="D413" s="18" t="s">
        <v>1029</v>
      </c>
      <c r="E413" s="18">
        <v>0.0</v>
      </c>
      <c r="F413" s="41"/>
      <c r="G413" s="18" t="s">
        <v>1022</v>
      </c>
      <c r="H413" s="14">
        <v>45216.0</v>
      </c>
      <c r="I413" s="77" t="s">
        <v>1039</v>
      </c>
    </row>
    <row r="414">
      <c r="A414" s="103"/>
      <c r="B414" s="17" t="s">
        <v>1040</v>
      </c>
      <c r="C414" s="17" t="s">
        <v>1041</v>
      </c>
      <c r="D414" s="18" t="s">
        <v>352</v>
      </c>
      <c r="E414" s="18">
        <v>30.0</v>
      </c>
      <c r="F414" s="41"/>
      <c r="G414" s="18" t="s">
        <v>1022</v>
      </c>
      <c r="H414" s="14">
        <v>45030.0</v>
      </c>
      <c r="I414" s="104"/>
    </row>
    <row r="415">
      <c r="A415" s="103"/>
      <c r="B415" s="17" t="s">
        <v>1042</v>
      </c>
      <c r="C415" s="17" t="s">
        <v>1043</v>
      </c>
      <c r="D415" s="18" t="s">
        <v>23</v>
      </c>
      <c r="E415" s="18">
        <v>0.0</v>
      </c>
      <c r="F415" s="41"/>
      <c r="G415" s="18" t="s">
        <v>1022</v>
      </c>
      <c r="H415" s="14">
        <v>44566.0</v>
      </c>
      <c r="I415" s="104"/>
    </row>
    <row r="416">
      <c r="A416" s="103"/>
      <c r="B416" s="17" t="s">
        <v>1044</v>
      </c>
      <c r="C416" s="40" t="s">
        <v>1045</v>
      </c>
      <c r="D416" s="18" t="s">
        <v>23</v>
      </c>
      <c r="E416" s="18">
        <v>0.0</v>
      </c>
      <c r="F416" s="41"/>
      <c r="G416" s="18" t="s">
        <v>1022</v>
      </c>
      <c r="H416" s="14">
        <v>44372.0</v>
      </c>
      <c r="I416" s="104"/>
    </row>
    <row r="417">
      <c r="A417" s="103"/>
      <c r="B417" s="17" t="s">
        <v>1046</v>
      </c>
      <c r="C417" s="40" t="s">
        <v>1047</v>
      </c>
      <c r="D417" s="18" t="s">
        <v>352</v>
      </c>
      <c r="E417" s="18">
        <v>0.0</v>
      </c>
      <c r="F417" s="41"/>
      <c r="G417" s="18" t="s">
        <v>1022</v>
      </c>
      <c r="H417" s="14">
        <v>44929.0</v>
      </c>
      <c r="I417" s="104"/>
    </row>
    <row r="418">
      <c r="A418" s="103"/>
      <c r="B418" s="17" t="s">
        <v>1048</v>
      </c>
      <c r="C418" s="40" t="s">
        <v>1049</v>
      </c>
      <c r="D418" s="18" t="s">
        <v>413</v>
      </c>
      <c r="E418" s="18">
        <v>0.0</v>
      </c>
      <c r="F418" s="41"/>
      <c r="G418" s="18" t="s">
        <v>1022</v>
      </c>
      <c r="H418" s="14">
        <v>45187.0</v>
      </c>
      <c r="I418" s="104"/>
    </row>
    <row r="419">
      <c r="A419" s="103"/>
      <c r="B419" s="17" t="s">
        <v>1050</v>
      </c>
      <c r="C419" s="40" t="s">
        <v>1051</v>
      </c>
      <c r="D419" s="18" t="s">
        <v>131</v>
      </c>
      <c r="E419" s="18">
        <v>6.0</v>
      </c>
      <c r="F419" s="41"/>
      <c r="G419" s="18" t="s">
        <v>1022</v>
      </c>
      <c r="H419" s="108">
        <v>45818.0</v>
      </c>
      <c r="I419" s="77" t="s">
        <v>795</v>
      </c>
    </row>
    <row r="420">
      <c r="A420" s="103"/>
      <c r="B420" s="17" t="s">
        <v>1052</v>
      </c>
      <c r="C420" s="40" t="s">
        <v>1053</v>
      </c>
      <c r="D420" s="18" t="s">
        <v>23</v>
      </c>
      <c r="E420" s="18">
        <v>0.0</v>
      </c>
      <c r="F420" s="41"/>
      <c r="G420" s="18" t="s">
        <v>1022</v>
      </c>
      <c r="H420" s="14">
        <v>44131.0</v>
      </c>
      <c r="I420" s="104"/>
    </row>
    <row r="421">
      <c r="A421" s="103"/>
      <c r="B421" s="17" t="s">
        <v>1054</v>
      </c>
      <c r="C421" s="40" t="s">
        <v>1055</v>
      </c>
      <c r="D421" s="18" t="s">
        <v>413</v>
      </c>
      <c r="E421" s="18">
        <v>0.0</v>
      </c>
      <c r="F421" s="41"/>
      <c r="G421" s="18" t="s">
        <v>1022</v>
      </c>
      <c r="H421" s="14">
        <v>44988.0</v>
      </c>
      <c r="I421" s="104"/>
    </row>
    <row r="422">
      <c r="A422" s="103"/>
      <c r="B422" s="17" t="s">
        <v>1056</v>
      </c>
      <c r="C422" s="40" t="s">
        <v>1057</v>
      </c>
      <c r="D422" s="18" t="s">
        <v>218</v>
      </c>
      <c r="E422" s="18">
        <v>18.0</v>
      </c>
      <c r="F422" s="41"/>
      <c r="G422" s="18" t="s">
        <v>1022</v>
      </c>
      <c r="H422" s="14">
        <v>44566.0</v>
      </c>
      <c r="I422" s="104"/>
    </row>
    <row r="423">
      <c r="A423" s="103"/>
      <c r="B423" s="17" t="s">
        <v>1058</v>
      </c>
      <c r="C423" s="40" t="s">
        <v>1059</v>
      </c>
      <c r="D423" s="18" t="s">
        <v>413</v>
      </c>
      <c r="E423" s="18">
        <v>0.0</v>
      </c>
      <c r="F423" s="41"/>
      <c r="G423" s="18" t="s">
        <v>1022</v>
      </c>
      <c r="H423" s="14">
        <v>44124.0</v>
      </c>
      <c r="I423" s="104"/>
    </row>
    <row r="424">
      <c r="A424" s="103"/>
      <c r="B424" s="17" t="s">
        <v>1060</v>
      </c>
      <c r="C424" s="40" t="s">
        <v>1061</v>
      </c>
      <c r="D424" s="18" t="s">
        <v>413</v>
      </c>
      <c r="E424" s="18">
        <v>0.0</v>
      </c>
      <c r="F424" s="41"/>
      <c r="G424" s="18" t="s">
        <v>1022</v>
      </c>
      <c r="H424" s="108">
        <v>45147.0</v>
      </c>
      <c r="I424" s="104"/>
    </row>
    <row r="425">
      <c r="A425" s="103"/>
      <c r="B425" s="17" t="s">
        <v>1062</v>
      </c>
      <c r="C425" s="40" t="s">
        <v>1063</v>
      </c>
      <c r="D425" s="18" t="s">
        <v>23</v>
      </c>
      <c r="E425" s="18">
        <v>0.0</v>
      </c>
      <c r="F425" s="41"/>
      <c r="G425" s="18" t="s">
        <v>1022</v>
      </c>
      <c r="H425" s="14">
        <v>43994.0</v>
      </c>
      <c r="I425" s="104"/>
    </row>
    <row r="426">
      <c r="A426" s="103"/>
      <c r="B426" s="17" t="s">
        <v>1064</v>
      </c>
      <c r="C426" s="40" t="s">
        <v>1065</v>
      </c>
      <c r="D426" s="18" t="s">
        <v>218</v>
      </c>
      <c r="E426" s="18">
        <v>0.0</v>
      </c>
      <c r="F426" s="41"/>
      <c r="G426" s="18" t="s">
        <v>1022</v>
      </c>
      <c r="H426" s="14">
        <v>45210.0</v>
      </c>
      <c r="I426" s="104"/>
    </row>
    <row r="427">
      <c r="A427" s="103"/>
      <c r="B427" s="17" t="s">
        <v>1066</v>
      </c>
      <c r="C427" s="40" t="s">
        <v>1067</v>
      </c>
      <c r="D427" s="18" t="s">
        <v>1029</v>
      </c>
      <c r="E427" s="18">
        <v>29.0</v>
      </c>
      <c r="F427" s="41"/>
      <c r="G427" s="18" t="s">
        <v>1022</v>
      </c>
      <c r="H427" s="14">
        <v>44883.0</v>
      </c>
      <c r="I427" s="104"/>
    </row>
    <row r="428">
      <c r="A428" s="103"/>
      <c r="B428" s="17" t="s">
        <v>1068</v>
      </c>
      <c r="C428" s="40" t="s">
        <v>1069</v>
      </c>
      <c r="D428" s="18" t="s">
        <v>131</v>
      </c>
      <c r="E428" s="18">
        <v>1.0</v>
      </c>
      <c r="F428" s="41"/>
      <c r="G428" s="18" t="s">
        <v>1022</v>
      </c>
      <c r="H428" s="14">
        <v>43774.0</v>
      </c>
      <c r="I428" s="104"/>
    </row>
    <row r="429">
      <c r="A429" s="103"/>
      <c r="B429" s="17" t="s">
        <v>1070</v>
      </c>
      <c r="C429" s="40" t="s">
        <v>1071</v>
      </c>
      <c r="D429" s="18" t="s">
        <v>131</v>
      </c>
      <c r="E429" s="18">
        <v>1.0</v>
      </c>
      <c r="F429" s="41"/>
      <c r="G429" s="18" t="s">
        <v>1022</v>
      </c>
      <c r="H429" s="14">
        <v>43774.0</v>
      </c>
      <c r="I429" s="104"/>
    </row>
    <row r="430">
      <c r="A430" s="103"/>
      <c r="B430" s="17" t="s">
        <v>1072</v>
      </c>
      <c r="C430" s="40" t="s">
        <v>1073</v>
      </c>
      <c r="D430" s="18" t="s">
        <v>413</v>
      </c>
      <c r="E430" s="18">
        <v>194.0</v>
      </c>
      <c r="F430" s="41"/>
      <c r="G430" s="18" t="s">
        <v>1022</v>
      </c>
      <c r="H430" s="30">
        <v>45147.0</v>
      </c>
      <c r="I430" s="104"/>
    </row>
    <row r="431">
      <c r="A431" s="103"/>
      <c r="B431" s="17" t="s">
        <v>1074</v>
      </c>
      <c r="C431" s="40" t="s">
        <v>1075</v>
      </c>
      <c r="D431" s="18" t="s">
        <v>1076</v>
      </c>
      <c r="E431" s="18">
        <v>0.0</v>
      </c>
      <c r="F431" s="41"/>
      <c r="G431" s="18" t="s">
        <v>1022</v>
      </c>
      <c r="H431" s="14">
        <v>45883.0</v>
      </c>
      <c r="I431" s="104"/>
    </row>
    <row r="432">
      <c r="A432" s="103"/>
      <c r="B432" s="17" t="s">
        <v>1077</v>
      </c>
      <c r="C432" s="109" t="s">
        <v>1078</v>
      </c>
      <c r="D432" s="18" t="s">
        <v>131</v>
      </c>
      <c r="E432" s="18">
        <v>0.0</v>
      </c>
      <c r="F432" s="41"/>
      <c r="G432" s="18" t="s">
        <v>1022</v>
      </c>
      <c r="H432" s="14">
        <v>43775.0</v>
      </c>
      <c r="I432" s="104"/>
    </row>
    <row r="433">
      <c r="A433" s="103"/>
      <c r="B433" s="17" t="s">
        <v>1079</v>
      </c>
      <c r="C433" s="40" t="s">
        <v>1080</v>
      </c>
      <c r="D433" s="18" t="s">
        <v>131</v>
      </c>
      <c r="E433" s="18">
        <v>6.0</v>
      </c>
      <c r="F433" s="41"/>
      <c r="G433" s="18" t="s">
        <v>1022</v>
      </c>
      <c r="H433" s="14">
        <v>43775.0</v>
      </c>
      <c r="I433" s="104"/>
    </row>
    <row r="434">
      <c r="A434" s="103"/>
      <c r="B434" s="17" t="s">
        <v>1081</v>
      </c>
      <c r="C434" s="40" t="s">
        <v>1082</v>
      </c>
      <c r="D434" s="18" t="s">
        <v>23</v>
      </c>
      <c r="E434" s="18">
        <v>0.0</v>
      </c>
      <c r="F434" s="41"/>
      <c r="G434" s="18" t="s">
        <v>1022</v>
      </c>
      <c r="H434" s="14">
        <v>44253.0</v>
      </c>
      <c r="I434" s="104"/>
    </row>
    <row r="435" ht="12.0" customHeight="1">
      <c r="A435" s="103"/>
      <c r="B435" s="17" t="s">
        <v>1083</v>
      </c>
      <c r="C435" s="40" t="s">
        <v>1084</v>
      </c>
      <c r="D435" s="18" t="s">
        <v>218</v>
      </c>
      <c r="E435" s="18">
        <v>84.0</v>
      </c>
      <c r="F435" s="41"/>
      <c r="G435" s="18"/>
      <c r="H435" s="14"/>
      <c r="I435" s="104"/>
    </row>
    <row r="436" ht="12.0" customHeight="1">
      <c r="A436" s="103"/>
      <c r="B436" s="17" t="s">
        <v>1085</v>
      </c>
      <c r="C436" s="17" t="s">
        <v>37</v>
      </c>
      <c r="D436" s="18" t="s">
        <v>131</v>
      </c>
      <c r="E436" s="18">
        <v>11.0</v>
      </c>
      <c r="F436" s="41"/>
      <c r="G436" s="41"/>
      <c r="H436" s="14">
        <v>43775.0</v>
      </c>
      <c r="I436" s="104"/>
    </row>
    <row r="437">
      <c r="A437" s="103"/>
      <c r="B437" s="17" t="s">
        <v>1086</v>
      </c>
      <c r="C437" s="17" t="s">
        <v>1087</v>
      </c>
      <c r="D437" s="18" t="s">
        <v>413</v>
      </c>
      <c r="E437" s="18">
        <v>0.0</v>
      </c>
      <c r="F437" s="41"/>
      <c r="G437" s="18" t="s">
        <v>1022</v>
      </c>
      <c r="H437" s="14">
        <v>44958.0</v>
      </c>
      <c r="I437" s="104"/>
    </row>
    <row r="438">
      <c r="A438" s="103"/>
      <c r="B438" s="17" t="s">
        <v>1088</v>
      </c>
      <c r="C438" s="40" t="s">
        <v>1089</v>
      </c>
      <c r="D438" s="18" t="s">
        <v>131</v>
      </c>
      <c r="E438" s="18">
        <v>10.0</v>
      </c>
      <c r="F438" s="41"/>
      <c r="G438" s="18" t="s">
        <v>1022</v>
      </c>
      <c r="H438" s="14">
        <v>44117.0</v>
      </c>
      <c r="I438" s="104"/>
    </row>
    <row r="439">
      <c r="A439" s="103"/>
      <c r="B439" s="17" t="s">
        <v>1090</v>
      </c>
      <c r="C439" s="40" t="s">
        <v>1091</v>
      </c>
      <c r="D439" s="18" t="s">
        <v>23</v>
      </c>
      <c r="E439" s="18">
        <v>0.0</v>
      </c>
      <c r="F439" s="41"/>
      <c r="G439" s="18" t="s">
        <v>1022</v>
      </c>
      <c r="H439" s="14">
        <v>44117.0</v>
      </c>
      <c r="I439" s="104"/>
    </row>
    <row r="440">
      <c r="A440" s="103"/>
      <c r="B440" s="17" t="s">
        <v>1092</v>
      </c>
      <c r="C440" s="40" t="s">
        <v>1093</v>
      </c>
      <c r="D440" s="18" t="s">
        <v>131</v>
      </c>
      <c r="E440" s="18">
        <v>0.0</v>
      </c>
      <c r="F440" s="41"/>
      <c r="G440" s="18" t="s">
        <v>1022</v>
      </c>
      <c r="H440" s="14">
        <v>44089.0</v>
      </c>
      <c r="I440" s="104"/>
    </row>
    <row r="441">
      <c r="A441" s="103"/>
      <c r="B441" s="17" t="s">
        <v>1094</v>
      </c>
      <c r="C441" s="40" t="s">
        <v>1095</v>
      </c>
      <c r="D441" s="18" t="s">
        <v>413</v>
      </c>
      <c r="E441" s="18">
        <v>33.0</v>
      </c>
      <c r="F441" s="18" t="s">
        <v>1096</v>
      </c>
      <c r="G441" s="18" t="s">
        <v>1022</v>
      </c>
      <c r="H441" s="14">
        <v>45097.0</v>
      </c>
      <c r="I441" s="104"/>
    </row>
    <row r="442">
      <c r="A442" s="103"/>
      <c r="B442" s="17" t="s">
        <v>1097</v>
      </c>
      <c r="C442" s="40" t="s">
        <v>1098</v>
      </c>
      <c r="D442" s="18" t="s">
        <v>23</v>
      </c>
      <c r="E442" s="18">
        <v>0.0</v>
      </c>
      <c r="F442" s="41"/>
      <c r="G442" s="18" t="s">
        <v>1022</v>
      </c>
      <c r="H442" s="14">
        <v>45147.0</v>
      </c>
      <c r="I442" s="104"/>
    </row>
    <row r="443">
      <c r="A443" s="103"/>
      <c r="B443" s="17" t="s">
        <v>1099</v>
      </c>
      <c r="C443" s="17" t="s">
        <v>1100</v>
      </c>
      <c r="D443" s="18" t="s">
        <v>218</v>
      </c>
      <c r="E443" s="18">
        <v>0.0</v>
      </c>
      <c r="F443" s="41"/>
      <c r="G443" s="18" t="s">
        <v>1022</v>
      </c>
      <c r="H443" s="14">
        <v>45449.0</v>
      </c>
      <c r="I443" s="104"/>
    </row>
    <row r="444">
      <c r="A444" s="103"/>
      <c r="B444" s="17" t="s">
        <v>1101</v>
      </c>
      <c r="C444" s="40" t="s">
        <v>1102</v>
      </c>
      <c r="D444" s="18" t="s">
        <v>131</v>
      </c>
      <c r="E444" s="18">
        <v>0.0</v>
      </c>
      <c r="F444" s="41"/>
      <c r="G444" s="18" t="s">
        <v>1022</v>
      </c>
      <c r="H444" s="14">
        <v>44384.0</v>
      </c>
      <c r="I444" s="104"/>
    </row>
    <row r="445">
      <c r="A445" s="103"/>
      <c r="B445" s="17" t="s">
        <v>1103</v>
      </c>
      <c r="C445" s="40" t="s">
        <v>1104</v>
      </c>
      <c r="D445" s="18" t="s">
        <v>1105</v>
      </c>
      <c r="E445" s="18">
        <v>231.0</v>
      </c>
      <c r="F445" s="41"/>
      <c r="G445" s="18" t="s">
        <v>1022</v>
      </c>
      <c r="H445" s="32">
        <v>46120.401809143514</v>
      </c>
      <c r="I445" s="104"/>
    </row>
    <row r="446">
      <c r="A446" s="103"/>
      <c r="B446" s="17" t="s">
        <v>1106</v>
      </c>
      <c r="C446" s="40" t="s">
        <v>1107</v>
      </c>
      <c r="D446" s="18" t="s">
        <v>1108</v>
      </c>
      <c r="E446" s="18">
        <v>0.0</v>
      </c>
      <c r="F446" s="41"/>
      <c r="G446" s="18" t="s">
        <v>1022</v>
      </c>
      <c r="H446" s="32">
        <v>46150.365564733795</v>
      </c>
      <c r="I446" s="104"/>
    </row>
    <row r="447">
      <c r="A447" s="103"/>
      <c r="B447" s="67" t="s">
        <v>1109</v>
      </c>
      <c r="C447" s="110" t="s">
        <v>1110</v>
      </c>
      <c r="D447" s="18" t="s">
        <v>1111</v>
      </c>
      <c r="E447" s="18">
        <v>29.0</v>
      </c>
      <c r="F447" s="41"/>
      <c r="G447" s="18" t="s">
        <v>1022</v>
      </c>
      <c r="H447" s="14">
        <v>46148.0</v>
      </c>
      <c r="I447" s="104"/>
    </row>
    <row r="448">
      <c r="A448" s="103"/>
      <c r="B448" s="67" t="s">
        <v>1112</v>
      </c>
      <c r="C448" s="109" t="s">
        <v>1113</v>
      </c>
      <c r="D448" s="18" t="s">
        <v>413</v>
      </c>
      <c r="E448" s="18">
        <v>0.0</v>
      </c>
      <c r="F448" s="41"/>
      <c r="G448" s="18" t="s">
        <v>1022</v>
      </c>
      <c r="H448" s="14">
        <v>44631.0</v>
      </c>
      <c r="I448" s="104"/>
    </row>
    <row r="449">
      <c r="A449" s="103"/>
      <c r="B449" s="67" t="s">
        <v>1114</v>
      </c>
      <c r="C449" s="17" t="s">
        <v>1115</v>
      </c>
      <c r="D449" s="18" t="s">
        <v>23</v>
      </c>
      <c r="E449" s="18">
        <v>0.0</v>
      </c>
      <c r="F449" s="41"/>
      <c r="G449" s="18" t="s">
        <v>1022</v>
      </c>
      <c r="H449" s="14">
        <v>45917.0</v>
      </c>
      <c r="I449" s="104"/>
    </row>
    <row r="450">
      <c r="A450" s="103"/>
      <c r="B450" s="67" t="s">
        <v>1116</v>
      </c>
      <c r="C450" s="17" t="s">
        <v>1117</v>
      </c>
      <c r="D450" s="18" t="s">
        <v>23</v>
      </c>
      <c r="E450" s="18">
        <v>28.0</v>
      </c>
      <c r="F450" s="41"/>
      <c r="G450" s="18" t="s">
        <v>1022</v>
      </c>
      <c r="H450" s="14">
        <v>44929.0</v>
      </c>
      <c r="I450" s="104"/>
    </row>
    <row r="451">
      <c r="A451" s="103"/>
      <c r="B451" s="17" t="s">
        <v>1118</v>
      </c>
      <c r="C451" s="40" t="s">
        <v>1119</v>
      </c>
      <c r="D451" s="18" t="s">
        <v>23</v>
      </c>
      <c r="E451" s="18">
        <v>0.0</v>
      </c>
      <c r="F451" s="41"/>
      <c r="G451" s="18" t="s">
        <v>1022</v>
      </c>
      <c r="H451" s="14">
        <v>44221.0</v>
      </c>
      <c r="I451" s="104"/>
    </row>
    <row r="452">
      <c r="A452" s="103"/>
      <c r="B452" s="17" t="s">
        <v>1120</v>
      </c>
      <c r="C452" s="17" t="s">
        <v>1121</v>
      </c>
      <c r="D452" s="18" t="s">
        <v>1122</v>
      </c>
      <c r="E452" s="18">
        <v>6.0</v>
      </c>
      <c r="F452" s="41"/>
      <c r="G452" s="18" t="s">
        <v>1022</v>
      </c>
      <c r="H452" s="14">
        <v>44040.0</v>
      </c>
      <c r="I452" s="104"/>
    </row>
    <row r="453">
      <c r="A453" s="103"/>
      <c r="B453" s="17" t="s">
        <v>1123</v>
      </c>
      <c r="C453" s="17" t="s">
        <v>1124</v>
      </c>
      <c r="D453" s="18" t="s">
        <v>131</v>
      </c>
      <c r="E453" s="18">
        <v>0.0</v>
      </c>
      <c r="F453" s="41"/>
      <c r="G453" s="18" t="s">
        <v>1022</v>
      </c>
      <c r="H453" s="14">
        <v>45061.0</v>
      </c>
      <c r="I453" s="104"/>
    </row>
    <row r="454">
      <c r="A454" s="103"/>
      <c r="B454" s="17" t="s">
        <v>1125</v>
      </c>
      <c r="C454" s="17" t="s">
        <v>1126</v>
      </c>
      <c r="D454" s="18" t="s">
        <v>23</v>
      </c>
      <c r="E454" s="18">
        <v>5.0</v>
      </c>
      <c r="F454" s="41"/>
      <c r="G454" s="18" t="s">
        <v>1022</v>
      </c>
      <c r="H454" s="14">
        <v>44929.0</v>
      </c>
      <c r="I454" s="104"/>
    </row>
    <row r="455">
      <c r="A455" s="103"/>
      <c r="B455" s="17" t="s">
        <v>1127</v>
      </c>
      <c r="C455" s="17" t="s">
        <v>1128</v>
      </c>
      <c r="D455" s="18" t="s">
        <v>1129</v>
      </c>
      <c r="E455" s="18">
        <v>0.0</v>
      </c>
      <c r="F455" s="41"/>
      <c r="G455" s="18" t="s">
        <v>1022</v>
      </c>
      <c r="H455" s="32">
        <v>46073.543037905096</v>
      </c>
      <c r="I455" s="104"/>
    </row>
    <row r="456">
      <c r="A456" s="103"/>
      <c r="B456" s="17" t="s">
        <v>1130</v>
      </c>
      <c r="C456" s="17" t="s">
        <v>1131</v>
      </c>
      <c r="D456" s="18" t="s">
        <v>131</v>
      </c>
      <c r="E456" s="18">
        <v>26.0</v>
      </c>
      <c r="F456" s="83"/>
      <c r="G456" s="18" t="s">
        <v>1022</v>
      </c>
      <c r="H456" s="32">
        <v>46162.53928996528</v>
      </c>
      <c r="I456" s="104"/>
    </row>
    <row r="457">
      <c r="A457" s="103"/>
      <c r="B457" s="17" t="s">
        <v>1132</v>
      </c>
      <c r="C457" s="17" t="s">
        <v>1133</v>
      </c>
      <c r="D457" s="18" t="s">
        <v>1134</v>
      </c>
      <c r="E457" s="18">
        <v>0.0</v>
      </c>
      <c r="F457" s="41"/>
      <c r="G457" s="18" t="s">
        <v>1022</v>
      </c>
      <c r="H457" s="14">
        <v>45870.0</v>
      </c>
      <c r="I457" s="104"/>
    </row>
    <row r="458">
      <c r="A458" s="103"/>
      <c r="B458" s="17" t="s">
        <v>1135</v>
      </c>
      <c r="C458" s="17" t="s">
        <v>1136</v>
      </c>
      <c r="D458" s="18" t="s">
        <v>1108</v>
      </c>
      <c r="E458" s="18">
        <v>0.0</v>
      </c>
      <c r="F458" s="41"/>
      <c r="G458" s="18" t="s">
        <v>1022</v>
      </c>
      <c r="H458" s="111">
        <v>44821.0</v>
      </c>
      <c r="I458" s="104"/>
    </row>
    <row r="459">
      <c r="A459" s="103"/>
      <c r="B459" s="17"/>
      <c r="C459" s="25"/>
      <c r="D459" s="41"/>
      <c r="E459" s="41"/>
      <c r="F459" s="41"/>
      <c r="G459" s="18" t="s">
        <v>1137</v>
      </c>
      <c r="H459" s="25"/>
      <c r="I459" s="104"/>
    </row>
    <row r="460">
      <c r="A460" s="103"/>
      <c r="B460" s="25"/>
      <c r="C460" s="25"/>
      <c r="D460" s="41"/>
      <c r="E460" s="41"/>
      <c r="F460" s="41"/>
      <c r="G460" s="41"/>
      <c r="H460" s="25"/>
      <c r="I460" s="104"/>
    </row>
    <row r="461">
      <c r="A461" s="103"/>
      <c r="B461" s="25"/>
      <c r="C461" s="25"/>
      <c r="D461" s="41"/>
      <c r="E461" s="41"/>
      <c r="F461" s="41"/>
      <c r="G461" s="41"/>
      <c r="H461" s="25"/>
      <c r="I461" s="104"/>
    </row>
    <row r="462">
      <c r="A462" s="103"/>
      <c r="B462" s="25"/>
      <c r="C462" s="25"/>
      <c r="D462" s="41"/>
      <c r="E462" s="41"/>
      <c r="F462" s="41"/>
      <c r="G462" s="41"/>
      <c r="H462" s="17" t="s">
        <v>1138</v>
      </c>
      <c r="I462" s="104"/>
    </row>
    <row r="463">
      <c r="A463" s="103"/>
      <c r="B463" s="25"/>
      <c r="C463" s="25"/>
      <c r="D463" s="41"/>
      <c r="E463" s="41"/>
      <c r="F463" s="41"/>
      <c r="G463" s="41"/>
      <c r="H463" s="25"/>
      <c r="I463" s="104"/>
    </row>
    <row r="464">
      <c r="B464" s="25"/>
      <c r="C464" s="25"/>
      <c r="D464" s="41"/>
      <c r="E464" s="41"/>
      <c r="F464" s="41"/>
      <c r="G464" s="41"/>
      <c r="H464" s="25"/>
      <c r="I464" s="104"/>
    </row>
    <row r="465">
      <c r="B465" s="25"/>
      <c r="C465" s="25"/>
      <c r="D465" s="41"/>
      <c r="E465" s="41"/>
      <c r="F465" s="41"/>
      <c r="G465" s="41"/>
      <c r="H465" s="25"/>
      <c r="I465" s="104"/>
    </row>
    <row r="466">
      <c r="B466" s="25"/>
      <c r="C466" s="25"/>
      <c r="D466" s="41"/>
      <c r="E466" s="41"/>
      <c r="F466" s="41"/>
      <c r="G466" s="41"/>
      <c r="H466" s="25"/>
      <c r="I466" s="104"/>
    </row>
    <row r="467">
      <c r="B467" s="25"/>
      <c r="C467" s="25"/>
      <c r="D467" s="41"/>
      <c r="E467" s="41"/>
      <c r="F467" s="41"/>
      <c r="G467" s="41"/>
      <c r="H467" s="25"/>
      <c r="I467" s="104"/>
    </row>
    <row r="468">
      <c r="B468" s="25"/>
      <c r="C468" s="25"/>
      <c r="D468" s="41"/>
      <c r="E468" s="41"/>
      <c r="F468" s="41"/>
      <c r="G468" s="41"/>
      <c r="H468" s="25"/>
      <c r="I468" s="104"/>
    </row>
    <row r="469">
      <c r="B469" s="25"/>
      <c r="C469" s="25"/>
      <c r="D469" s="41"/>
      <c r="E469" s="41"/>
      <c r="F469" s="41"/>
      <c r="G469" s="41"/>
      <c r="H469" s="25"/>
      <c r="I469" s="104"/>
    </row>
    <row r="470">
      <c r="B470" s="25"/>
      <c r="C470" s="25"/>
      <c r="D470" s="41"/>
      <c r="E470" s="41"/>
      <c r="F470" s="41"/>
      <c r="G470" s="41"/>
      <c r="H470" s="25"/>
      <c r="I470" s="104"/>
    </row>
    <row r="471">
      <c r="B471" s="25"/>
      <c r="C471" s="25"/>
      <c r="D471" s="41"/>
      <c r="E471" s="41"/>
      <c r="F471" s="41"/>
      <c r="G471" s="41"/>
      <c r="H471" s="25"/>
      <c r="I471" s="104"/>
    </row>
    <row r="472">
      <c r="B472" s="25"/>
      <c r="C472" s="25"/>
      <c r="D472" s="41"/>
      <c r="E472" s="41"/>
      <c r="F472" s="41"/>
      <c r="G472" s="41"/>
      <c r="H472" s="25"/>
      <c r="I472" s="104"/>
    </row>
    <row r="473">
      <c r="B473" s="25"/>
      <c r="C473" s="25"/>
      <c r="D473" s="41"/>
      <c r="E473" s="41"/>
      <c r="F473" s="41"/>
      <c r="G473" s="41"/>
      <c r="H473" s="25"/>
      <c r="I473" s="104"/>
    </row>
    <row r="474">
      <c r="B474" s="25"/>
      <c r="C474" s="25"/>
      <c r="D474" s="41"/>
      <c r="E474" s="41"/>
      <c r="F474" s="41"/>
      <c r="G474" s="41"/>
      <c r="H474" s="25"/>
    </row>
  </sheetData>
  <mergeCells count="1">
    <mergeCell ref="B405:H405"/>
  </mergeCells>
  <conditionalFormatting sqref="E1:E474">
    <cfRule type="expression" dxfId="0" priority="1">
      <formula>E1&lt;F1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8.88"/>
    <col customWidth="1" min="2" max="2" width="21.75"/>
    <col customWidth="1" min="3" max="3" width="13.38"/>
    <col customWidth="1" min="4" max="4" width="16.0"/>
    <col customWidth="1" min="5" max="5" width="12.63"/>
    <col customWidth="1" min="6" max="6" width="14.38"/>
    <col customWidth="1" min="7" max="7" width="13.63"/>
    <col customWidth="1" min="8" max="8" width="14.38"/>
    <col customWidth="1" min="9" max="9" width="12.63"/>
    <col customWidth="1" min="10" max="10" width="13.75"/>
    <col customWidth="1" min="11" max="11" width="13.5"/>
    <col customWidth="1" min="12" max="12" width="13.63"/>
    <col customWidth="1" min="13" max="13" width="15.88"/>
    <col customWidth="1" min="14" max="14" width="24.5"/>
  </cols>
  <sheetData>
    <row r="1" ht="31.5" customHeight="1">
      <c r="A1" s="112" t="s">
        <v>0</v>
      </c>
      <c r="B1" s="112" t="s">
        <v>1139</v>
      </c>
      <c r="C1" s="112" t="s">
        <v>1140</v>
      </c>
      <c r="D1" s="112" t="s">
        <v>1141</v>
      </c>
      <c r="E1" s="112" t="s">
        <v>1142</v>
      </c>
      <c r="F1" s="112" t="s">
        <v>1143</v>
      </c>
      <c r="G1" s="112" t="s">
        <v>1144</v>
      </c>
      <c r="H1" s="112" t="s">
        <v>1145</v>
      </c>
      <c r="I1" s="112" t="s">
        <v>1146</v>
      </c>
      <c r="J1" s="112" t="s">
        <v>1147</v>
      </c>
      <c r="K1" s="112" t="s">
        <v>1148</v>
      </c>
      <c r="L1" s="112" t="s">
        <v>2</v>
      </c>
      <c r="M1" s="113" t="s">
        <v>6</v>
      </c>
      <c r="N1" s="112" t="s">
        <v>1149</v>
      </c>
    </row>
    <row r="2">
      <c r="A2" s="114" t="s">
        <v>1150</v>
      </c>
      <c r="B2" s="114" t="s">
        <v>1151</v>
      </c>
      <c r="C2" s="115" t="s">
        <v>1152</v>
      </c>
      <c r="D2" s="115" t="s">
        <v>37</v>
      </c>
      <c r="E2" s="115" t="s">
        <v>37</v>
      </c>
      <c r="F2" s="115" t="s">
        <v>37</v>
      </c>
      <c r="G2" s="115" t="s">
        <v>37</v>
      </c>
      <c r="H2" s="115" t="s">
        <v>37</v>
      </c>
      <c r="I2" s="115" t="s">
        <v>37</v>
      </c>
      <c r="J2" s="115">
        <v>0.0</v>
      </c>
      <c r="K2" s="115" t="s">
        <v>1153</v>
      </c>
      <c r="L2" s="115" t="s">
        <v>1154</v>
      </c>
      <c r="M2" s="116">
        <v>45391.0</v>
      </c>
      <c r="N2" s="117" t="s">
        <v>1155</v>
      </c>
    </row>
    <row r="3">
      <c r="A3" s="114" t="s">
        <v>1156</v>
      </c>
      <c r="B3" s="114" t="s">
        <v>1157</v>
      </c>
      <c r="C3" s="115" t="s">
        <v>1152</v>
      </c>
      <c r="D3" s="115">
        <v>3.0</v>
      </c>
      <c r="E3" s="115">
        <v>50.0</v>
      </c>
      <c r="F3" s="115">
        <v>41.0</v>
      </c>
      <c r="G3" s="115" t="s">
        <v>1158</v>
      </c>
      <c r="H3" s="115" t="s">
        <v>1159</v>
      </c>
      <c r="I3" s="115" t="s">
        <v>1160</v>
      </c>
      <c r="J3" s="115">
        <v>1.0</v>
      </c>
      <c r="K3" s="115" t="s">
        <v>1153</v>
      </c>
      <c r="L3" s="115" t="s">
        <v>1161</v>
      </c>
      <c r="M3" s="116">
        <v>45329.0</v>
      </c>
      <c r="N3" s="117" t="s">
        <v>1162</v>
      </c>
    </row>
    <row r="4">
      <c r="A4" s="17" t="s">
        <v>1163</v>
      </c>
      <c r="B4" s="17" t="s">
        <v>1164</v>
      </c>
      <c r="C4" s="19" t="s">
        <v>1152</v>
      </c>
      <c r="D4" s="19">
        <v>0.5</v>
      </c>
      <c r="E4" s="19">
        <v>24.0</v>
      </c>
      <c r="F4" s="19">
        <v>15.0</v>
      </c>
      <c r="G4" s="19" t="s">
        <v>1158</v>
      </c>
      <c r="H4" s="19" t="s">
        <v>1165</v>
      </c>
      <c r="I4" s="19" t="s">
        <v>1160</v>
      </c>
      <c r="J4" s="19">
        <v>1.0</v>
      </c>
      <c r="K4" s="19" t="s">
        <v>1153</v>
      </c>
      <c r="L4" s="19" t="s">
        <v>1166</v>
      </c>
      <c r="M4" s="118">
        <v>45337.0</v>
      </c>
      <c r="N4" s="119" t="s">
        <v>1167</v>
      </c>
    </row>
    <row r="5">
      <c r="A5" s="17" t="s">
        <v>1168</v>
      </c>
      <c r="B5" s="17" t="s">
        <v>1169</v>
      </c>
      <c r="C5" s="19" t="s">
        <v>1152</v>
      </c>
      <c r="D5" s="19">
        <v>1.5</v>
      </c>
      <c r="E5" s="19">
        <v>30.0</v>
      </c>
      <c r="F5" s="19">
        <v>22.5</v>
      </c>
      <c r="G5" s="19" t="s">
        <v>1158</v>
      </c>
      <c r="H5" s="19" t="s">
        <v>1165</v>
      </c>
      <c r="I5" s="19" t="s">
        <v>1160</v>
      </c>
      <c r="J5" s="19">
        <v>1.0</v>
      </c>
      <c r="K5" s="115" t="s">
        <v>1153</v>
      </c>
      <c r="L5" s="19" t="s">
        <v>1166</v>
      </c>
      <c r="M5" s="118">
        <v>45449.0</v>
      </c>
      <c r="N5" s="120" t="s">
        <v>1170</v>
      </c>
    </row>
    <row r="6">
      <c r="A6" s="17" t="s">
        <v>1171</v>
      </c>
      <c r="B6" s="17" t="s">
        <v>1172</v>
      </c>
      <c r="C6" s="19" t="s">
        <v>1173</v>
      </c>
      <c r="D6" s="19">
        <v>0.5</v>
      </c>
      <c r="E6" s="19">
        <v>10.0</v>
      </c>
      <c r="F6" s="19">
        <v>4.0</v>
      </c>
      <c r="G6" s="19" t="s">
        <v>1158</v>
      </c>
      <c r="H6" s="19" t="s">
        <v>1165</v>
      </c>
      <c r="I6" s="19" t="s">
        <v>1160</v>
      </c>
      <c r="J6" s="19">
        <v>1.0</v>
      </c>
      <c r="K6" s="19" t="s">
        <v>1174</v>
      </c>
      <c r="L6" s="19" t="s">
        <v>1166</v>
      </c>
      <c r="M6" s="118">
        <v>45740.0</v>
      </c>
      <c r="N6" s="119" t="s">
        <v>1175</v>
      </c>
    </row>
    <row r="7">
      <c r="A7" s="17" t="s">
        <v>1176</v>
      </c>
      <c r="B7" s="17" t="s">
        <v>1177</v>
      </c>
      <c r="C7" s="19" t="s">
        <v>1173</v>
      </c>
      <c r="D7" s="19">
        <v>2.0</v>
      </c>
      <c r="E7" s="19">
        <v>20.0</v>
      </c>
      <c r="F7" s="19">
        <v>7.2</v>
      </c>
      <c r="G7" s="19" t="s">
        <v>1158</v>
      </c>
      <c r="H7" s="19" t="s">
        <v>1178</v>
      </c>
      <c r="I7" s="19" t="s">
        <v>1179</v>
      </c>
      <c r="J7" s="19">
        <v>2.0</v>
      </c>
      <c r="K7" s="19" t="s">
        <v>1174</v>
      </c>
      <c r="L7" s="19" t="s">
        <v>1166</v>
      </c>
      <c r="M7" s="118">
        <v>45350.0</v>
      </c>
      <c r="N7" s="120" t="s">
        <v>1180</v>
      </c>
    </row>
    <row r="8">
      <c r="A8" s="17" t="s">
        <v>1181</v>
      </c>
      <c r="B8" s="17" t="s">
        <v>1182</v>
      </c>
      <c r="C8" s="19" t="s">
        <v>1173</v>
      </c>
      <c r="D8" s="19">
        <v>1.5</v>
      </c>
      <c r="E8" s="19">
        <v>15.0</v>
      </c>
      <c r="F8" s="19">
        <v>8.0</v>
      </c>
      <c r="G8" s="19" t="s">
        <v>1158</v>
      </c>
      <c r="H8" s="19" t="s">
        <v>1178</v>
      </c>
      <c r="I8" s="19" t="s">
        <v>1179</v>
      </c>
      <c r="J8" s="19">
        <v>2.0</v>
      </c>
      <c r="K8" s="19" t="s">
        <v>1174</v>
      </c>
      <c r="L8" s="19" t="s">
        <v>1166</v>
      </c>
      <c r="M8" s="118">
        <v>45350.0</v>
      </c>
      <c r="N8" s="120" t="s">
        <v>1183</v>
      </c>
    </row>
    <row r="9">
      <c r="A9" s="17" t="s">
        <v>1184</v>
      </c>
      <c r="B9" s="17" t="s">
        <v>1185</v>
      </c>
      <c r="C9" s="19" t="s">
        <v>1173</v>
      </c>
      <c r="D9" s="19">
        <v>1.0</v>
      </c>
      <c r="E9" s="19">
        <v>20.0</v>
      </c>
      <c r="F9" s="19">
        <v>12.5</v>
      </c>
      <c r="G9" s="19" t="s">
        <v>1158</v>
      </c>
      <c r="H9" s="19" t="s">
        <v>1165</v>
      </c>
      <c r="I9" s="19" t="s">
        <v>1160</v>
      </c>
      <c r="J9" s="19">
        <v>5.0</v>
      </c>
      <c r="K9" s="19" t="s">
        <v>1174</v>
      </c>
      <c r="L9" s="19" t="s">
        <v>1166</v>
      </c>
      <c r="M9" s="118">
        <v>45707.0</v>
      </c>
      <c r="N9" s="120" t="s">
        <v>1186</v>
      </c>
    </row>
    <row r="10">
      <c r="A10" s="17" t="s">
        <v>1187</v>
      </c>
      <c r="B10" s="17" t="s">
        <v>1188</v>
      </c>
      <c r="C10" s="19" t="s">
        <v>1173</v>
      </c>
      <c r="D10" s="19">
        <v>1.5</v>
      </c>
      <c r="E10" s="19">
        <v>30.0</v>
      </c>
      <c r="F10" s="19">
        <v>22.5</v>
      </c>
      <c r="G10" s="19" t="s">
        <v>1158</v>
      </c>
      <c r="H10" s="19" t="s">
        <v>1165</v>
      </c>
      <c r="I10" s="19" t="s">
        <v>1160</v>
      </c>
      <c r="J10" s="19">
        <v>0.0</v>
      </c>
      <c r="K10" s="19" t="s">
        <v>1174</v>
      </c>
      <c r="L10" s="19" t="s">
        <v>1166</v>
      </c>
      <c r="M10" s="118">
        <v>45337.0</v>
      </c>
      <c r="N10" s="119" t="s">
        <v>1189</v>
      </c>
    </row>
    <row r="11">
      <c r="A11" s="17" t="s">
        <v>1190</v>
      </c>
      <c r="B11" s="17" t="s">
        <v>1191</v>
      </c>
      <c r="C11" s="19" t="s">
        <v>1173</v>
      </c>
      <c r="D11" s="19">
        <v>3.0</v>
      </c>
      <c r="E11" s="19">
        <v>30.0</v>
      </c>
      <c r="F11" s="19">
        <v>27.5</v>
      </c>
      <c r="G11" s="19" t="s">
        <v>1158</v>
      </c>
      <c r="H11" s="19" t="s">
        <v>1165</v>
      </c>
      <c r="I11" s="19" t="s">
        <v>1160</v>
      </c>
      <c r="J11" s="19">
        <v>1.0</v>
      </c>
      <c r="K11" s="19" t="s">
        <v>1174</v>
      </c>
      <c r="L11" s="19" t="s">
        <v>1161</v>
      </c>
      <c r="M11" s="118">
        <v>45329.0</v>
      </c>
      <c r="N11" s="119" t="s">
        <v>1192</v>
      </c>
    </row>
    <row r="12">
      <c r="A12" s="17" t="s">
        <v>1193</v>
      </c>
      <c r="B12" s="17" t="s">
        <v>1194</v>
      </c>
      <c r="C12" s="19" t="s">
        <v>1173</v>
      </c>
      <c r="D12" s="19">
        <v>0.7</v>
      </c>
      <c r="E12" s="19">
        <v>20.0</v>
      </c>
      <c r="F12" s="19">
        <v>12.0</v>
      </c>
      <c r="G12" s="19" t="s">
        <v>1158</v>
      </c>
      <c r="H12" s="19" t="s">
        <v>1165</v>
      </c>
      <c r="I12" s="19" t="s">
        <v>1160</v>
      </c>
      <c r="J12" s="19">
        <v>1.0</v>
      </c>
      <c r="K12" s="19" t="s">
        <v>1174</v>
      </c>
      <c r="L12" s="19" t="s">
        <v>1166</v>
      </c>
      <c r="M12" s="118">
        <v>45740.0</v>
      </c>
      <c r="N12" s="120" t="s">
        <v>1195</v>
      </c>
    </row>
    <row r="13">
      <c r="A13" s="17" t="s">
        <v>1196</v>
      </c>
      <c r="B13" s="17" t="s">
        <v>1197</v>
      </c>
      <c r="C13" s="19" t="s">
        <v>1173</v>
      </c>
      <c r="D13" s="19">
        <v>0.5</v>
      </c>
      <c r="E13" s="19">
        <v>15.25</v>
      </c>
      <c r="F13" s="19">
        <v>7.75</v>
      </c>
      <c r="G13" s="19" t="s">
        <v>1178</v>
      </c>
      <c r="H13" s="19" t="s">
        <v>1178</v>
      </c>
      <c r="I13" s="19" t="s">
        <v>1179</v>
      </c>
      <c r="J13" s="19">
        <v>2.0</v>
      </c>
      <c r="K13" s="19" t="s">
        <v>1174</v>
      </c>
      <c r="L13" s="19" t="s">
        <v>1154</v>
      </c>
      <c r="M13" s="118">
        <v>45740.0</v>
      </c>
      <c r="N13" s="120" t="s">
        <v>1198</v>
      </c>
    </row>
    <row r="14">
      <c r="A14" s="17" t="s">
        <v>1199</v>
      </c>
      <c r="B14" s="17" t="s">
        <v>1200</v>
      </c>
      <c r="C14" s="19" t="s">
        <v>1173</v>
      </c>
      <c r="D14" s="19">
        <v>1.0</v>
      </c>
      <c r="E14" s="19">
        <v>35.5</v>
      </c>
      <c r="F14" s="19">
        <v>28.0</v>
      </c>
      <c r="G14" s="19" t="s">
        <v>1178</v>
      </c>
      <c r="H14" s="19" t="s">
        <v>1178</v>
      </c>
      <c r="I14" s="19" t="s">
        <v>1179</v>
      </c>
      <c r="J14" s="19">
        <v>5.0</v>
      </c>
      <c r="K14" s="19" t="s">
        <v>1174</v>
      </c>
      <c r="L14" s="19" t="s">
        <v>1154</v>
      </c>
      <c r="M14" s="118">
        <v>45740.0</v>
      </c>
      <c r="N14" s="120" t="s">
        <v>1201</v>
      </c>
    </row>
    <row r="15">
      <c r="A15" s="17" t="s">
        <v>1202</v>
      </c>
      <c r="B15" s="17" t="s">
        <v>1203</v>
      </c>
      <c r="C15" s="19" t="s">
        <v>1152</v>
      </c>
      <c r="D15" s="19" t="s">
        <v>37</v>
      </c>
      <c r="E15" s="19">
        <v>30.0</v>
      </c>
      <c r="F15" s="19" t="s">
        <v>37</v>
      </c>
      <c r="G15" s="19" t="s">
        <v>37</v>
      </c>
      <c r="H15" s="19" t="s">
        <v>1159</v>
      </c>
      <c r="I15" s="19" t="s">
        <v>37</v>
      </c>
      <c r="J15" s="19">
        <v>0.0</v>
      </c>
      <c r="K15" s="19" t="s">
        <v>1174</v>
      </c>
      <c r="L15" s="19" t="s">
        <v>1166</v>
      </c>
      <c r="M15" s="118">
        <v>45520.0</v>
      </c>
      <c r="N15" s="120" t="s">
        <v>1204</v>
      </c>
    </row>
    <row r="16">
      <c r="A16" s="17" t="s">
        <v>1205</v>
      </c>
      <c r="B16" s="17" t="s">
        <v>1151</v>
      </c>
      <c r="C16" s="19" t="s">
        <v>1152</v>
      </c>
      <c r="D16" s="19" t="s">
        <v>37</v>
      </c>
      <c r="E16" s="19" t="s">
        <v>37</v>
      </c>
      <c r="F16" s="19" t="s">
        <v>37</v>
      </c>
      <c r="G16" s="19" t="s">
        <v>37</v>
      </c>
      <c r="H16" s="19" t="s">
        <v>37</v>
      </c>
      <c r="I16" s="19" t="s">
        <v>37</v>
      </c>
      <c r="J16" s="19">
        <v>1.0</v>
      </c>
      <c r="K16" s="19" t="s">
        <v>1174</v>
      </c>
      <c r="L16" s="19" t="s">
        <v>1154</v>
      </c>
      <c r="M16" s="118">
        <v>45329.0</v>
      </c>
      <c r="N16" s="119" t="s">
        <v>1206</v>
      </c>
    </row>
    <row r="17">
      <c r="A17" s="17" t="s">
        <v>1207</v>
      </c>
      <c r="B17" s="17" t="s">
        <v>1208</v>
      </c>
      <c r="C17" s="19" t="s">
        <v>1152</v>
      </c>
      <c r="D17" s="19" t="s">
        <v>37</v>
      </c>
      <c r="E17" s="19">
        <v>20.0</v>
      </c>
      <c r="F17" s="19" t="s">
        <v>37</v>
      </c>
      <c r="G17" s="19" t="s">
        <v>37</v>
      </c>
      <c r="H17" s="19" t="s">
        <v>1159</v>
      </c>
      <c r="I17" s="19" t="s">
        <v>37</v>
      </c>
      <c r="J17" s="19">
        <v>4.0</v>
      </c>
      <c r="K17" s="19" t="s">
        <v>1174</v>
      </c>
      <c r="L17" s="19" t="s">
        <v>1166</v>
      </c>
      <c r="M17" s="118">
        <v>45740.0</v>
      </c>
      <c r="N17" s="120" t="s">
        <v>1209</v>
      </c>
    </row>
    <row r="18">
      <c r="A18" s="17" t="s">
        <v>1210</v>
      </c>
      <c r="B18" s="17" t="s">
        <v>1211</v>
      </c>
      <c r="C18" s="19" t="s">
        <v>1152</v>
      </c>
      <c r="D18" s="19">
        <v>1.0</v>
      </c>
      <c r="E18" s="19">
        <v>40.0</v>
      </c>
      <c r="F18" s="19" t="s">
        <v>1212</v>
      </c>
      <c r="G18" s="19" t="s">
        <v>1158</v>
      </c>
      <c r="H18" s="19" t="s">
        <v>1165</v>
      </c>
      <c r="I18" s="19" t="s">
        <v>1160</v>
      </c>
      <c r="J18" s="19">
        <v>1.0</v>
      </c>
      <c r="K18" s="19" t="s">
        <v>1174</v>
      </c>
      <c r="L18" s="19" t="s">
        <v>1166</v>
      </c>
      <c r="M18" s="118">
        <v>45740.0</v>
      </c>
      <c r="N18" s="120" t="s">
        <v>1213</v>
      </c>
    </row>
    <row r="19">
      <c r="A19" s="17" t="s">
        <v>1214</v>
      </c>
      <c r="B19" s="17" t="s">
        <v>1215</v>
      </c>
      <c r="C19" s="19" t="s">
        <v>1216</v>
      </c>
      <c r="D19" s="19" t="s">
        <v>37</v>
      </c>
      <c r="E19" s="19" t="s">
        <v>37</v>
      </c>
      <c r="F19" s="19" t="s">
        <v>37</v>
      </c>
      <c r="G19" s="19" t="s">
        <v>37</v>
      </c>
      <c r="H19" s="19" t="s">
        <v>37</v>
      </c>
      <c r="I19" s="19" t="s">
        <v>1217</v>
      </c>
      <c r="J19" s="19">
        <v>14.0</v>
      </c>
      <c r="K19" s="19" t="s">
        <v>1218</v>
      </c>
      <c r="L19" s="19" t="s">
        <v>1154</v>
      </c>
      <c r="M19" s="118">
        <v>45707.0</v>
      </c>
      <c r="N19" s="119" t="s">
        <v>1219</v>
      </c>
    </row>
    <row r="20">
      <c r="A20" s="17" t="s">
        <v>1220</v>
      </c>
      <c r="B20" s="17" t="s">
        <v>1221</v>
      </c>
      <c r="C20" s="19" t="s">
        <v>1222</v>
      </c>
      <c r="D20" s="19" t="s">
        <v>37</v>
      </c>
      <c r="E20" s="19" t="s">
        <v>37</v>
      </c>
      <c r="F20" s="19" t="s">
        <v>37</v>
      </c>
      <c r="G20" s="19" t="s">
        <v>37</v>
      </c>
      <c r="H20" s="19" t="s">
        <v>37</v>
      </c>
      <c r="I20" s="19" t="s">
        <v>1217</v>
      </c>
      <c r="J20" s="19">
        <v>10.0</v>
      </c>
      <c r="K20" s="19" t="s">
        <v>1218</v>
      </c>
      <c r="L20" s="19" t="s">
        <v>1166</v>
      </c>
      <c r="M20" s="118">
        <v>45370.0</v>
      </c>
      <c r="N20" s="119" t="s">
        <v>1223</v>
      </c>
    </row>
    <row r="21">
      <c r="A21" s="17" t="s">
        <v>1224</v>
      </c>
      <c r="B21" s="17" t="s">
        <v>1225</v>
      </c>
      <c r="C21" s="19" t="s">
        <v>1173</v>
      </c>
      <c r="D21" s="19">
        <v>1.0</v>
      </c>
      <c r="E21" s="19">
        <v>10.0</v>
      </c>
      <c r="F21" s="19">
        <v>4.85</v>
      </c>
      <c r="G21" s="19" t="s">
        <v>1158</v>
      </c>
      <c r="H21" s="19" t="s">
        <v>1178</v>
      </c>
      <c r="I21" s="19" t="s">
        <v>1160</v>
      </c>
      <c r="J21" s="19">
        <v>1.0</v>
      </c>
      <c r="K21" s="19" t="s">
        <v>1218</v>
      </c>
      <c r="L21" s="19" t="s">
        <v>1166</v>
      </c>
      <c r="M21" s="118">
        <v>45370.0</v>
      </c>
      <c r="N21" s="119" t="s">
        <v>1226</v>
      </c>
    </row>
    <row r="22">
      <c r="A22" s="17" t="s">
        <v>1227</v>
      </c>
      <c r="B22" s="17" t="s">
        <v>1185</v>
      </c>
      <c r="C22" s="19" t="s">
        <v>1173</v>
      </c>
      <c r="D22" s="19">
        <v>1.0</v>
      </c>
      <c r="E22" s="19">
        <v>20.0</v>
      </c>
      <c r="F22" s="19">
        <v>12.0</v>
      </c>
      <c r="G22" s="19" t="s">
        <v>1158</v>
      </c>
      <c r="H22" s="19" t="s">
        <v>1165</v>
      </c>
      <c r="I22" s="19" t="s">
        <v>1160</v>
      </c>
      <c r="J22" s="19">
        <v>2.0</v>
      </c>
      <c r="K22" s="19" t="s">
        <v>1218</v>
      </c>
      <c r="L22" s="19" t="s">
        <v>1166</v>
      </c>
      <c r="M22" s="118">
        <v>45351.0</v>
      </c>
      <c r="N22" s="119" t="s">
        <v>1228</v>
      </c>
    </row>
    <row r="23">
      <c r="A23" s="17" t="s">
        <v>1229</v>
      </c>
      <c r="B23" s="17" t="s">
        <v>1230</v>
      </c>
      <c r="C23" s="19" t="s">
        <v>1152</v>
      </c>
      <c r="D23" s="19">
        <v>0.6</v>
      </c>
      <c r="E23" s="19">
        <v>25.0</v>
      </c>
      <c r="F23" s="19">
        <v>19.0</v>
      </c>
      <c r="G23" s="19" t="s">
        <v>1158</v>
      </c>
      <c r="H23" s="19" t="s">
        <v>1165</v>
      </c>
      <c r="I23" s="19" t="s">
        <v>1160</v>
      </c>
      <c r="J23" s="19">
        <v>2.0</v>
      </c>
      <c r="K23" s="19" t="s">
        <v>1218</v>
      </c>
      <c r="L23" s="19" t="s">
        <v>1166</v>
      </c>
      <c r="M23" s="118">
        <v>45329.0</v>
      </c>
      <c r="N23" s="119" t="s">
        <v>1231</v>
      </c>
    </row>
    <row r="24">
      <c r="A24" s="17" t="s">
        <v>1232</v>
      </c>
      <c r="B24" s="17" t="s">
        <v>1233</v>
      </c>
      <c r="C24" s="19" t="s">
        <v>1152</v>
      </c>
      <c r="D24" s="19">
        <v>1.0</v>
      </c>
      <c r="E24" s="19">
        <v>20.0</v>
      </c>
      <c r="F24" s="19">
        <v>12.5</v>
      </c>
      <c r="G24" s="19" t="s">
        <v>1158</v>
      </c>
      <c r="H24" s="19" t="s">
        <v>1165</v>
      </c>
      <c r="I24" s="19" t="s">
        <v>1160</v>
      </c>
      <c r="J24" s="19">
        <v>1.0</v>
      </c>
      <c r="K24" s="19" t="s">
        <v>1218</v>
      </c>
      <c r="L24" s="19" t="s">
        <v>1166</v>
      </c>
      <c r="M24" s="118">
        <v>45740.0</v>
      </c>
      <c r="N24" s="120" t="s">
        <v>1234</v>
      </c>
    </row>
    <row r="25">
      <c r="A25" s="17" t="s">
        <v>1235</v>
      </c>
      <c r="B25" s="17" t="s">
        <v>1236</v>
      </c>
      <c r="C25" s="19" t="s">
        <v>1152</v>
      </c>
      <c r="D25" s="19">
        <v>1.0</v>
      </c>
      <c r="E25" s="19">
        <v>20.5</v>
      </c>
      <c r="F25" s="19">
        <v>13.5</v>
      </c>
      <c r="G25" s="19" t="s">
        <v>1158</v>
      </c>
      <c r="H25" s="19" t="s">
        <v>1165</v>
      </c>
      <c r="I25" s="19" t="s">
        <v>1160</v>
      </c>
      <c r="J25" s="19">
        <v>1.0</v>
      </c>
      <c r="K25" s="19" t="s">
        <v>1218</v>
      </c>
      <c r="L25" s="19" t="s">
        <v>1166</v>
      </c>
      <c r="M25" s="118">
        <v>45740.0</v>
      </c>
      <c r="N25" s="119" t="s">
        <v>1234</v>
      </c>
    </row>
    <row r="26">
      <c r="A26" s="17" t="s">
        <v>1237</v>
      </c>
      <c r="B26" s="17" t="s">
        <v>1238</v>
      </c>
      <c r="C26" s="19" t="s">
        <v>1152</v>
      </c>
      <c r="D26" s="19">
        <v>2.0</v>
      </c>
      <c r="E26" s="19">
        <v>40.0</v>
      </c>
      <c r="F26" s="19">
        <v>34.0</v>
      </c>
      <c r="G26" s="19" t="s">
        <v>1158</v>
      </c>
      <c r="H26" s="19" t="s">
        <v>1178</v>
      </c>
      <c r="I26" s="19" t="s">
        <v>1160</v>
      </c>
      <c r="J26" s="19">
        <v>4.0</v>
      </c>
      <c r="K26" s="19" t="s">
        <v>1218</v>
      </c>
      <c r="L26" s="19" t="s">
        <v>1166</v>
      </c>
      <c r="M26" s="118">
        <v>45370.0</v>
      </c>
      <c r="N26" s="119" t="s">
        <v>1239</v>
      </c>
    </row>
    <row r="27">
      <c r="A27" s="17" t="s">
        <v>1240</v>
      </c>
      <c r="B27" s="17" t="s">
        <v>1157</v>
      </c>
      <c r="C27" s="19" t="s">
        <v>1152</v>
      </c>
      <c r="D27" s="19">
        <v>3.0</v>
      </c>
      <c r="E27" s="19">
        <v>50.0</v>
      </c>
      <c r="F27" s="19">
        <v>41.0</v>
      </c>
      <c r="G27" s="19" t="s">
        <v>1158</v>
      </c>
      <c r="H27" s="19" t="s">
        <v>1159</v>
      </c>
      <c r="I27" s="19" t="s">
        <v>1160</v>
      </c>
      <c r="J27" s="19">
        <v>3.0</v>
      </c>
      <c r="K27" s="19" t="s">
        <v>1218</v>
      </c>
      <c r="L27" s="19" t="s">
        <v>1166</v>
      </c>
      <c r="M27" s="118">
        <v>45370.0</v>
      </c>
      <c r="N27" s="119" t="s">
        <v>1241</v>
      </c>
    </row>
    <row r="28">
      <c r="A28" s="17" t="s">
        <v>1242</v>
      </c>
      <c r="B28" s="17" t="s">
        <v>1243</v>
      </c>
      <c r="C28" s="19" t="s">
        <v>1152</v>
      </c>
      <c r="D28" s="19" t="s">
        <v>37</v>
      </c>
      <c r="E28" s="19">
        <v>35.0</v>
      </c>
      <c r="F28" s="19" t="s">
        <v>37</v>
      </c>
      <c r="G28" s="19" t="s">
        <v>37</v>
      </c>
      <c r="H28" s="19" t="s">
        <v>1178</v>
      </c>
      <c r="I28" s="19" t="s">
        <v>37</v>
      </c>
      <c r="J28" s="19">
        <v>3.0</v>
      </c>
      <c r="K28" s="19" t="s">
        <v>1218</v>
      </c>
      <c r="L28" s="19" t="s">
        <v>1166</v>
      </c>
      <c r="M28" s="118">
        <v>45370.0</v>
      </c>
      <c r="N28" s="119" t="s">
        <v>1244</v>
      </c>
    </row>
    <row r="29">
      <c r="A29" s="17" t="s">
        <v>1245</v>
      </c>
      <c r="B29" s="17" t="s">
        <v>1246</v>
      </c>
      <c r="C29" s="19" t="s">
        <v>1152</v>
      </c>
      <c r="D29" s="19" t="s">
        <v>37</v>
      </c>
      <c r="E29" s="19">
        <v>50.0</v>
      </c>
      <c r="F29" s="19" t="s">
        <v>37</v>
      </c>
      <c r="G29" s="19" t="s">
        <v>37</v>
      </c>
      <c r="H29" s="19" t="s">
        <v>1159</v>
      </c>
      <c r="I29" s="19" t="s">
        <v>37</v>
      </c>
      <c r="J29" s="19">
        <v>2.0</v>
      </c>
      <c r="K29" s="19" t="s">
        <v>1218</v>
      </c>
      <c r="L29" s="19" t="s">
        <v>1166</v>
      </c>
      <c r="M29" s="118">
        <v>45740.0</v>
      </c>
      <c r="N29" s="119" t="s">
        <v>1247</v>
      </c>
    </row>
    <row r="30">
      <c r="A30" s="17" t="s">
        <v>1248</v>
      </c>
      <c r="B30" s="17" t="s">
        <v>1151</v>
      </c>
      <c r="C30" s="19" t="s">
        <v>1152</v>
      </c>
      <c r="D30" s="19" t="s">
        <v>37</v>
      </c>
      <c r="E30" s="19" t="s">
        <v>37</v>
      </c>
      <c r="F30" s="19" t="s">
        <v>37</v>
      </c>
      <c r="G30" s="19" t="s">
        <v>37</v>
      </c>
      <c r="H30" s="19" t="s">
        <v>37</v>
      </c>
      <c r="I30" s="19" t="s">
        <v>37</v>
      </c>
      <c r="J30" s="19">
        <v>0.0</v>
      </c>
      <c r="K30" s="19" t="s">
        <v>1218</v>
      </c>
      <c r="L30" s="19" t="s">
        <v>1154</v>
      </c>
      <c r="M30" s="118">
        <v>45329.0</v>
      </c>
      <c r="N30" s="119" t="s">
        <v>1249</v>
      </c>
    </row>
    <row r="31">
      <c r="A31" s="25"/>
      <c r="B31" s="25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2"/>
      <c r="N31" s="25"/>
    </row>
    <row r="32">
      <c r="A32" s="25"/>
      <c r="B32" s="25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2"/>
      <c r="N32" s="25"/>
    </row>
    <row r="33">
      <c r="A33" s="25"/>
      <c r="B33" s="25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2"/>
      <c r="N33" s="25"/>
    </row>
    <row r="34">
      <c r="A34" s="25"/>
      <c r="B34" s="25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2"/>
      <c r="N34" s="25"/>
    </row>
    <row r="35">
      <c r="A35" s="25"/>
      <c r="B35" s="25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2"/>
      <c r="N35" s="25"/>
    </row>
    <row r="36">
      <c r="A36" s="25"/>
      <c r="B36" s="25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2"/>
      <c r="N36" s="25"/>
    </row>
    <row r="37">
      <c r="A37" s="25"/>
      <c r="B37" s="25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2"/>
      <c r="N37" s="25"/>
    </row>
    <row r="38">
      <c r="A38" s="25"/>
      <c r="B38" s="25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2"/>
      <c r="N38" s="25"/>
    </row>
    <row r="39">
      <c r="A39" s="25"/>
      <c r="B39" s="25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2"/>
      <c r="N39" s="25"/>
    </row>
    <row r="40">
      <c r="A40" s="25"/>
      <c r="B40" s="25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2"/>
      <c r="N40" s="25"/>
    </row>
    <row r="41">
      <c r="A41" s="25"/>
      <c r="B41" s="25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2"/>
      <c r="N41" s="25"/>
    </row>
    <row r="42">
      <c r="A42" s="25"/>
      <c r="B42" s="25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2"/>
      <c r="N42" s="25"/>
    </row>
    <row r="43">
      <c r="A43" s="25"/>
      <c r="B43" s="25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2"/>
      <c r="N43" s="25"/>
    </row>
    <row r="44">
      <c r="A44" s="25"/>
      <c r="B44" s="25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2"/>
      <c r="N44" s="25"/>
    </row>
    <row r="45">
      <c r="A45" s="25"/>
      <c r="B45" s="25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2"/>
      <c r="N45" s="25"/>
    </row>
    <row r="46">
      <c r="A46" s="25"/>
      <c r="B46" s="25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2"/>
      <c r="N46" s="25"/>
    </row>
    <row r="47">
      <c r="A47" s="25"/>
      <c r="B47" s="25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2"/>
      <c r="N47" s="25"/>
    </row>
    <row r="48">
      <c r="A48" s="25"/>
      <c r="B48" s="25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2"/>
      <c r="N48" s="25"/>
    </row>
    <row r="49">
      <c r="A49" s="25"/>
      <c r="B49" s="25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2"/>
      <c r="N49" s="25"/>
    </row>
    <row r="50">
      <c r="A50" s="25"/>
      <c r="B50" s="25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2"/>
      <c r="N50" s="25"/>
    </row>
    <row r="51">
      <c r="A51" s="25"/>
      <c r="B51" s="25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2"/>
      <c r="N51" s="25"/>
    </row>
    <row r="52">
      <c r="A52" s="25"/>
      <c r="B52" s="25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2"/>
      <c r="N52" s="25"/>
    </row>
    <row r="53">
      <c r="A53" s="25"/>
      <c r="B53" s="25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2"/>
      <c r="N53" s="25"/>
    </row>
    <row r="54">
      <c r="A54" s="25"/>
      <c r="B54" s="25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2"/>
      <c r="N54" s="25"/>
    </row>
    <row r="55">
      <c r="A55" s="25"/>
      <c r="B55" s="25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2"/>
      <c r="N55" s="25"/>
    </row>
    <row r="56">
      <c r="A56" s="25"/>
      <c r="B56" s="25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2"/>
      <c r="N56" s="25"/>
    </row>
    <row r="57">
      <c r="A57" s="25"/>
      <c r="B57" s="25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2"/>
      <c r="N57" s="25"/>
    </row>
    <row r="58">
      <c r="A58" s="25"/>
      <c r="B58" s="25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2"/>
      <c r="N58" s="25"/>
    </row>
    <row r="59">
      <c r="A59" s="25"/>
      <c r="B59" s="25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2"/>
      <c r="N59" s="25"/>
    </row>
    <row r="60">
      <c r="A60" s="25"/>
      <c r="B60" s="25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2"/>
      <c r="N60" s="25"/>
    </row>
    <row r="61">
      <c r="A61" s="25"/>
      <c r="B61" s="25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2"/>
      <c r="N61" s="25"/>
    </row>
    <row r="62">
      <c r="A62" s="25"/>
      <c r="B62" s="25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2"/>
      <c r="N62" s="25"/>
    </row>
    <row r="63">
      <c r="A63" s="25"/>
      <c r="B63" s="25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2"/>
      <c r="N63" s="25"/>
    </row>
    <row r="64">
      <c r="A64" s="25"/>
      <c r="B64" s="25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2"/>
      <c r="N64" s="25"/>
    </row>
    <row r="65">
      <c r="A65" s="25"/>
      <c r="B65" s="25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2"/>
      <c r="N65" s="25"/>
    </row>
    <row r="66">
      <c r="A66" s="25"/>
      <c r="B66" s="25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2"/>
      <c r="N66" s="25"/>
    </row>
    <row r="67">
      <c r="A67" s="25"/>
      <c r="B67" s="25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2"/>
      <c r="N67" s="25"/>
    </row>
    <row r="68">
      <c r="A68" s="25"/>
      <c r="B68" s="25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2"/>
      <c r="N68" s="25"/>
    </row>
    <row r="69">
      <c r="A69" s="25"/>
      <c r="B69" s="25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2"/>
      <c r="N69" s="25"/>
    </row>
    <row r="70">
      <c r="A70" s="25"/>
      <c r="B70" s="25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2"/>
      <c r="N70" s="25"/>
    </row>
    <row r="71">
      <c r="A71" s="25"/>
      <c r="B71" s="25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2"/>
      <c r="N71" s="25"/>
    </row>
    <row r="72">
      <c r="A72" s="25"/>
      <c r="B72" s="25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2"/>
      <c r="N72" s="25"/>
    </row>
    <row r="73">
      <c r="A73" s="25"/>
      <c r="B73" s="25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2"/>
      <c r="N73" s="25"/>
    </row>
    <row r="74">
      <c r="A74" s="25"/>
      <c r="B74" s="25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2"/>
      <c r="N74" s="25"/>
    </row>
    <row r="75">
      <c r="A75" s="25"/>
      <c r="B75" s="25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2"/>
      <c r="N75" s="25"/>
    </row>
    <row r="76">
      <c r="A76" s="25"/>
      <c r="B76" s="25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2"/>
      <c r="N76" s="25"/>
    </row>
    <row r="77">
      <c r="A77" s="25"/>
      <c r="B77" s="25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2"/>
      <c r="N77" s="25"/>
    </row>
    <row r="78">
      <c r="A78" s="25"/>
      <c r="B78" s="25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2"/>
      <c r="N78" s="25"/>
    </row>
    <row r="79">
      <c r="A79" s="25"/>
      <c r="B79" s="25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2"/>
      <c r="N79" s="25"/>
    </row>
    <row r="80">
      <c r="A80" s="25"/>
      <c r="B80" s="25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2"/>
      <c r="N80" s="25"/>
    </row>
    <row r="81">
      <c r="A81" s="25"/>
      <c r="B81" s="25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2"/>
      <c r="N81" s="25"/>
    </row>
    <row r="82">
      <c r="A82" s="25"/>
      <c r="B82" s="25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2"/>
      <c r="N82" s="25"/>
    </row>
    <row r="83">
      <c r="A83" s="25"/>
      <c r="B83" s="25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2"/>
      <c r="N83" s="25"/>
    </row>
    <row r="84">
      <c r="A84" s="25"/>
      <c r="B84" s="25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2"/>
      <c r="N84" s="25"/>
    </row>
    <row r="85">
      <c r="A85" s="25"/>
      <c r="B85" s="25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2"/>
      <c r="N85" s="25"/>
    </row>
    <row r="86">
      <c r="A86" s="25"/>
      <c r="B86" s="25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2"/>
      <c r="N86" s="25"/>
    </row>
    <row r="87">
      <c r="A87" s="25"/>
      <c r="B87" s="25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2"/>
      <c r="N87" s="25"/>
    </row>
    <row r="88">
      <c r="A88" s="25"/>
      <c r="B88" s="25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2"/>
      <c r="N88" s="25"/>
    </row>
    <row r="89">
      <c r="A89" s="25"/>
      <c r="B89" s="25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2"/>
      <c r="N89" s="25"/>
    </row>
    <row r="90">
      <c r="A90" s="25"/>
      <c r="B90" s="25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2"/>
      <c r="N90" s="25"/>
    </row>
    <row r="91">
      <c r="A91" s="25"/>
      <c r="B91" s="25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2"/>
      <c r="N91" s="25"/>
    </row>
    <row r="92">
      <c r="A92" s="25"/>
      <c r="B92" s="25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2"/>
      <c r="N92" s="25"/>
    </row>
    <row r="93">
      <c r="A93" s="25"/>
      <c r="B93" s="25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2"/>
      <c r="N93" s="25"/>
    </row>
    <row r="94">
      <c r="A94" s="25"/>
      <c r="B94" s="25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2"/>
      <c r="N94" s="25"/>
    </row>
    <row r="95">
      <c r="A95" s="25"/>
      <c r="B95" s="25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2"/>
      <c r="N95" s="25"/>
    </row>
    <row r="96">
      <c r="A96" s="25"/>
      <c r="B96" s="25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2"/>
      <c r="N96" s="25"/>
    </row>
    <row r="97">
      <c r="A97" s="25"/>
      <c r="B97" s="25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2"/>
      <c r="N97" s="25"/>
    </row>
    <row r="98">
      <c r="A98" s="25"/>
      <c r="B98" s="25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2"/>
      <c r="N98" s="25"/>
    </row>
    <row r="99">
      <c r="A99" s="25"/>
      <c r="B99" s="25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2"/>
      <c r="N99" s="25"/>
    </row>
    <row r="100">
      <c r="A100" s="25"/>
      <c r="B100" s="25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2"/>
      <c r="N100" s="25"/>
    </row>
    <row r="101">
      <c r="A101" s="25"/>
      <c r="B101" s="25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2"/>
      <c r="N101" s="25"/>
    </row>
    <row r="102">
      <c r="A102" s="25"/>
      <c r="B102" s="25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2"/>
      <c r="N102" s="25"/>
    </row>
    <row r="103">
      <c r="A103" s="25"/>
      <c r="B103" s="25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2"/>
      <c r="N103" s="25"/>
    </row>
    <row r="104">
      <c r="A104" s="25"/>
      <c r="B104" s="25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2"/>
      <c r="N104" s="25"/>
    </row>
    <row r="105">
      <c r="A105" s="25"/>
      <c r="B105" s="25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2"/>
      <c r="N105" s="25"/>
    </row>
    <row r="106">
      <c r="A106" s="25"/>
      <c r="B106" s="25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2"/>
      <c r="N106" s="25"/>
    </row>
    <row r="107">
      <c r="A107" s="25"/>
      <c r="B107" s="25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2"/>
      <c r="N107" s="25"/>
    </row>
    <row r="108">
      <c r="A108" s="25"/>
      <c r="B108" s="25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2"/>
      <c r="N108" s="25"/>
    </row>
    <row r="109">
      <c r="A109" s="25"/>
      <c r="B109" s="25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2"/>
      <c r="N109" s="25"/>
    </row>
    <row r="110">
      <c r="A110" s="25"/>
      <c r="B110" s="25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2"/>
      <c r="N110" s="25"/>
    </row>
    <row r="111">
      <c r="A111" s="25"/>
      <c r="B111" s="25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2"/>
      <c r="N111" s="25"/>
    </row>
    <row r="112">
      <c r="A112" s="25"/>
      <c r="B112" s="25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2"/>
      <c r="N112" s="25"/>
    </row>
    <row r="113">
      <c r="A113" s="25"/>
      <c r="B113" s="25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2"/>
      <c r="N113" s="25"/>
    </row>
    <row r="114">
      <c r="A114" s="25"/>
      <c r="B114" s="25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2"/>
      <c r="N114" s="25"/>
    </row>
    <row r="115">
      <c r="A115" s="25"/>
      <c r="B115" s="25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2"/>
      <c r="N115" s="25"/>
    </row>
    <row r="116">
      <c r="A116" s="25"/>
      <c r="B116" s="25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2"/>
      <c r="N116" s="25"/>
    </row>
    <row r="117">
      <c r="A117" s="25"/>
      <c r="B117" s="25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2"/>
      <c r="N117" s="25"/>
    </row>
    <row r="118">
      <c r="A118" s="25"/>
      <c r="B118" s="25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2"/>
      <c r="N118" s="25"/>
    </row>
    <row r="119">
      <c r="A119" s="25"/>
      <c r="B119" s="25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2"/>
      <c r="N119" s="25"/>
    </row>
    <row r="120">
      <c r="A120" s="25"/>
      <c r="B120" s="25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2"/>
      <c r="N120" s="25"/>
    </row>
    <row r="121">
      <c r="A121" s="25"/>
      <c r="B121" s="25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2"/>
      <c r="N121" s="25"/>
    </row>
    <row r="122">
      <c r="A122" s="25"/>
      <c r="B122" s="25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2"/>
      <c r="N122" s="25"/>
    </row>
    <row r="123">
      <c r="A123" s="25"/>
      <c r="B123" s="25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2"/>
      <c r="N123" s="25"/>
    </row>
    <row r="124">
      <c r="A124" s="25"/>
      <c r="B124" s="25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2"/>
      <c r="N124" s="25"/>
    </row>
    <row r="125">
      <c r="A125" s="25"/>
      <c r="B125" s="25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2"/>
      <c r="N125" s="25"/>
    </row>
    <row r="126">
      <c r="A126" s="25"/>
      <c r="B126" s="25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2"/>
      <c r="N126" s="25"/>
    </row>
    <row r="127">
      <c r="A127" s="25"/>
      <c r="B127" s="25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2"/>
      <c r="N127" s="25"/>
    </row>
    <row r="128">
      <c r="A128" s="25"/>
      <c r="B128" s="25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2"/>
      <c r="N128" s="25"/>
    </row>
    <row r="129">
      <c r="A129" s="25"/>
      <c r="B129" s="25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2"/>
      <c r="N129" s="25"/>
    </row>
    <row r="130">
      <c r="A130" s="25"/>
      <c r="B130" s="25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2"/>
      <c r="N130" s="25"/>
    </row>
    <row r="131">
      <c r="A131" s="25"/>
      <c r="B131" s="25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2"/>
      <c r="N131" s="25"/>
    </row>
    <row r="132">
      <c r="A132" s="25"/>
      <c r="B132" s="25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2"/>
      <c r="N132" s="25"/>
    </row>
    <row r="133">
      <c r="A133" s="25"/>
      <c r="B133" s="25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2"/>
      <c r="N133" s="25"/>
    </row>
    <row r="134">
      <c r="A134" s="25"/>
      <c r="B134" s="25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2"/>
      <c r="N134" s="25"/>
    </row>
    <row r="135">
      <c r="A135" s="25"/>
      <c r="B135" s="25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2"/>
      <c r="N135" s="25"/>
    </row>
    <row r="136">
      <c r="A136" s="25"/>
      <c r="B136" s="25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2"/>
      <c r="N136" s="25"/>
    </row>
    <row r="137">
      <c r="A137" s="25"/>
      <c r="B137" s="25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2"/>
      <c r="N137" s="25"/>
    </row>
    <row r="138">
      <c r="A138" s="25"/>
      <c r="B138" s="25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2"/>
      <c r="N138" s="25"/>
    </row>
    <row r="139">
      <c r="A139" s="25"/>
      <c r="B139" s="25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2"/>
      <c r="N139" s="25"/>
    </row>
    <row r="140">
      <c r="A140" s="25"/>
      <c r="B140" s="25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2"/>
      <c r="N140" s="25"/>
    </row>
    <row r="141">
      <c r="A141" s="25"/>
      <c r="B141" s="25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2"/>
      <c r="N141" s="25"/>
    </row>
    <row r="142">
      <c r="A142" s="25"/>
      <c r="B142" s="25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2"/>
      <c r="N142" s="25"/>
    </row>
    <row r="143">
      <c r="A143" s="25"/>
      <c r="B143" s="25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2"/>
      <c r="N143" s="25"/>
    </row>
    <row r="144">
      <c r="A144" s="25"/>
      <c r="B144" s="25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2"/>
      <c r="N144" s="25"/>
    </row>
    <row r="145">
      <c r="A145" s="25"/>
      <c r="B145" s="25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2"/>
      <c r="N145" s="25"/>
    </row>
    <row r="146">
      <c r="A146" s="25"/>
      <c r="B146" s="25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2"/>
      <c r="N146" s="25"/>
    </row>
    <row r="147">
      <c r="A147" s="25"/>
      <c r="B147" s="25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2"/>
      <c r="N147" s="25"/>
    </row>
    <row r="148">
      <c r="A148" s="25"/>
      <c r="B148" s="25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2"/>
      <c r="N148" s="25"/>
    </row>
    <row r="149">
      <c r="A149" s="25"/>
      <c r="B149" s="25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2"/>
      <c r="N149" s="25"/>
    </row>
    <row r="150">
      <c r="A150" s="25"/>
      <c r="B150" s="25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2"/>
      <c r="N150" s="25"/>
    </row>
    <row r="151">
      <c r="A151" s="25"/>
      <c r="B151" s="25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2"/>
      <c r="N151" s="25"/>
    </row>
    <row r="152">
      <c r="A152" s="25"/>
      <c r="B152" s="25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2"/>
      <c r="N152" s="25"/>
    </row>
    <row r="153">
      <c r="A153" s="25"/>
      <c r="B153" s="25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2"/>
      <c r="N153" s="25"/>
    </row>
    <row r="154">
      <c r="A154" s="25"/>
      <c r="B154" s="25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2"/>
      <c r="N154" s="25"/>
    </row>
    <row r="155">
      <c r="A155" s="25"/>
      <c r="B155" s="25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2"/>
      <c r="N155" s="25"/>
    </row>
    <row r="156">
      <c r="A156" s="25"/>
      <c r="B156" s="25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2"/>
      <c r="N156" s="25"/>
    </row>
    <row r="157">
      <c r="A157" s="25"/>
      <c r="B157" s="25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2"/>
      <c r="N157" s="25"/>
    </row>
    <row r="158">
      <c r="A158" s="25"/>
      <c r="B158" s="25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2"/>
      <c r="N158" s="25"/>
    </row>
    <row r="159">
      <c r="A159" s="25"/>
      <c r="B159" s="25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2"/>
      <c r="N159" s="25"/>
    </row>
    <row r="160">
      <c r="A160" s="25"/>
      <c r="B160" s="25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2"/>
      <c r="N160" s="25"/>
    </row>
    <row r="161">
      <c r="A161" s="25"/>
      <c r="B161" s="25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2"/>
      <c r="N161" s="25"/>
    </row>
    <row r="162">
      <c r="A162" s="25"/>
      <c r="B162" s="25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2"/>
      <c r="N162" s="25"/>
    </row>
    <row r="163">
      <c r="A163" s="25"/>
      <c r="B163" s="25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2"/>
      <c r="N163" s="25"/>
    </row>
    <row r="164">
      <c r="A164" s="25"/>
      <c r="B164" s="25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2"/>
      <c r="N164" s="25"/>
    </row>
    <row r="165">
      <c r="A165" s="25"/>
      <c r="B165" s="25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2"/>
      <c r="N165" s="25"/>
    </row>
    <row r="166">
      <c r="A166" s="25"/>
      <c r="B166" s="25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2"/>
      <c r="N166" s="25"/>
    </row>
    <row r="167">
      <c r="A167" s="25"/>
      <c r="B167" s="25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2"/>
      <c r="N167" s="25"/>
    </row>
    <row r="168">
      <c r="A168" s="25"/>
      <c r="B168" s="25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2"/>
      <c r="N168" s="25"/>
    </row>
    <row r="169">
      <c r="A169" s="25"/>
      <c r="B169" s="25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2"/>
      <c r="N169" s="25"/>
    </row>
    <row r="170">
      <c r="A170" s="25"/>
      <c r="B170" s="25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2"/>
      <c r="N170" s="25"/>
    </row>
    <row r="171">
      <c r="A171" s="25"/>
      <c r="B171" s="25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2"/>
      <c r="N171" s="25"/>
    </row>
    <row r="172">
      <c r="A172" s="25"/>
      <c r="B172" s="25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2"/>
      <c r="N172" s="25"/>
    </row>
    <row r="173">
      <c r="A173" s="25"/>
      <c r="B173" s="25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2"/>
      <c r="N173" s="25"/>
    </row>
    <row r="174">
      <c r="A174" s="25"/>
      <c r="B174" s="25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2"/>
      <c r="N174" s="25"/>
    </row>
    <row r="175">
      <c r="A175" s="25"/>
      <c r="B175" s="25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2"/>
      <c r="N175" s="25"/>
    </row>
    <row r="176">
      <c r="A176" s="25"/>
      <c r="B176" s="25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2"/>
      <c r="N176" s="25"/>
    </row>
    <row r="177">
      <c r="A177" s="25"/>
      <c r="B177" s="25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2"/>
      <c r="N177" s="25"/>
    </row>
    <row r="178">
      <c r="A178" s="25"/>
      <c r="B178" s="25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2"/>
      <c r="N178" s="25"/>
    </row>
    <row r="179">
      <c r="A179" s="25"/>
      <c r="B179" s="25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2"/>
      <c r="N179" s="25"/>
    </row>
    <row r="180">
      <c r="A180" s="25"/>
      <c r="B180" s="25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2"/>
      <c r="N180" s="25"/>
    </row>
    <row r="181">
      <c r="A181" s="25"/>
      <c r="B181" s="25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2"/>
      <c r="N181" s="25"/>
    </row>
    <row r="182">
      <c r="A182" s="25"/>
      <c r="B182" s="25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2"/>
      <c r="N182" s="25"/>
    </row>
    <row r="183">
      <c r="A183" s="25"/>
      <c r="B183" s="25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2"/>
      <c r="N183" s="25"/>
    </row>
    <row r="184">
      <c r="A184" s="25"/>
      <c r="B184" s="25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2"/>
      <c r="N184" s="25"/>
    </row>
    <row r="185">
      <c r="A185" s="25"/>
      <c r="B185" s="25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2"/>
      <c r="N185" s="25"/>
    </row>
    <row r="186">
      <c r="A186" s="25"/>
      <c r="B186" s="25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2"/>
      <c r="N186" s="25"/>
    </row>
    <row r="187">
      <c r="A187" s="25"/>
      <c r="B187" s="25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2"/>
      <c r="N187" s="25"/>
    </row>
    <row r="188">
      <c r="A188" s="25"/>
      <c r="B188" s="25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2"/>
      <c r="N188" s="25"/>
    </row>
    <row r="189">
      <c r="A189" s="25"/>
      <c r="B189" s="25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2"/>
      <c r="N189" s="25"/>
    </row>
    <row r="190">
      <c r="A190" s="25"/>
      <c r="B190" s="25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2"/>
      <c r="N190" s="25"/>
    </row>
    <row r="191">
      <c r="A191" s="25"/>
      <c r="B191" s="25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2"/>
      <c r="N191" s="25"/>
    </row>
    <row r="192">
      <c r="A192" s="25"/>
      <c r="B192" s="25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2"/>
      <c r="N192" s="25"/>
    </row>
    <row r="193">
      <c r="A193" s="25"/>
      <c r="B193" s="25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2"/>
      <c r="N193" s="25"/>
    </row>
    <row r="194">
      <c r="A194" s="25"/>
      <c r="B194" s="25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2"/>
      <c r="N194" s="25"/>
    </row>
    <row r="195">
      <c r="A195" s="25"/>
      <c r="B195" s="25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2"/>
      <c r="N195" s="25"/>
    </row>
    <row r="196">
      <c r="A196" s="25"/>
      <c r="B196" s="25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2"/>
      <c r="N196" s="25"/>
    </row>
    <row r="197">
      <c r="A197" s="25"/>
      <c r="B197" s="25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2"/>
      <c r="N197" s="25"/>
    </row>
    <row r="198">
      <c r="A198" s="25"/>
      <c r="B198" s="25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2"/>
      <c r="N198" s="25"/>
    </row>
    <row r="199">
      <c r="A199" s="25"/>
      <c r="B199" s="25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2"/>
      <c r="N199" s="25"/>
    </row>
    <row r="200">
      <c r="A200" s="25"/>
      <c r="B200" s="25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2"/>
      <c r="N200" s="25"/>
    </row>
    <row r="201">
      <c r="A201" s="25"/>
      <c r="B201" s="25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2"/>
      <c r="N201" s="25"/>
    </row>
    <row r="202">
      <c r="A202" s="25"/>
      <c r="B202" s="25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2"/>
      <c r="N202" s="25"/>
    </row>
    <row r="203">
      <c r="A203" s="25"/>
      <c r="B203" s="25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2"/>
      <c r="N203" s="25"/>
    </row>
    <row r="204">
      <c r="A204" s="25"/>
      <c r="B204" s="25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2"/>
      <c r="N204" s="25"/>
    </row>
    <row r="205">
      <c r="A205" s="25"/>
      <c r="B205" s="25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2"/>
      <c r="N205" s="25"/>
    </row>
    <row r="206">
      <c r="A206" s="25"/>
      <c r="B206" s="25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2"/>
      <c r="N206" s="25"/>
    </row>
    <row r="207">
      <c r="A207" s="25"/>
      <c r="B207" s="25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2"/>
      <c r="N207" s="25"/>
    </row>
    <row r="208">
      <c r="A208" s="25"/>
      <c r="B208" s="25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2"/>
      <c r="N208" s="25"/>
    </row>
    <row r="209">
      <c r="A209" s="25"/>
      <c r="B209" s="25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2"/>
      <c r="N209" s="25"/>
    </row>
    <row r="210">
      <c r="A210" s="25"/>
      <c r="B210" s="25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2"/>
      <c r="N210" s="25"/>
    </row>
    <row r="211">
      <c r="A211" s="25"/>
      <c r="B211" s="25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2"/>
      <c r="N211" s="25"/>
    </row>
    <row r="212">
      <c r="A212" s="25"/>
      <c r="B212" s="25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2"/>
      <c r="N212" s="25"/>
    </row>
    <row r="213">
      <c r="A213" s="25"/>
      <c r="B213" s="25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2"/>
      <c r="N213" s="25"/>
    </row>
    <row r="214">
      <c r="A214" s="25"/>
      <c r="B214" s="25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2"/>
      <c r="N214" s="25"/>
    </row>
    <row r="215">
      <c r="A215" s="25"/>
      <c r="B215" s="25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2"/>
      <c r="N215" s="25"/>
    </row>
    <row r="216">
      <c r="A216" s="25"/>
      <c r="B216" s="25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2"/>
      <c r="N216" s="25"/>
    </row>
    <row r="217">
      <c r="A217" s="25"/>
      <c r="B217" s="25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2"/>
      <c r="N217" s="25"/>
    </row>
    <row r="218">
      <c r="A218" s="25"/>
      <c r="B218" s="25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2"/>
      <c r="N218" s="25"/>
    </row>
    <row r="219">
      <c r="A219" s="25"/>
      <c r="B219" s="25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2"/>
      <c r="N219" s="25"/>
    </row>
    <row r="220">
      <c r="A220" s="25"/>
      <c r="B220" s="25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2"/>
      <c r="N220" s="25"/>
    </row>
    <row r="221">
      <c r="A221" s="25"/>
      <c r="B221" s="25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2"/>
      <c r="N221" s="25"/>
    </row>
    <row r="222">
      <c r="A222" s="25"/>
      <c r="B222" s="25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2"/>
      <c r="N222" s="25"/>
    </row>
    <row r="223">
      <c r="A223" s="25"/>
      <c r="B223" s="25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2"/>
      <c r="N223" s="25"/>
    </row>
    <row r="224">
      <c r="A224" s="25"/>
      <c r="B224" s="25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2"/>
      <c r="N224" s="25"/>
    </row>
    <row r="225">
      <c r="A225" s="25"/>
      <c r="B225" s="25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2"/>
      <c r="N225" s="25"/>
    </row>
    <row r="226">
      <c r="A226" s="25"/>
      <c r="B226" s="25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2"/>
      <c r="N226" s="25"/>
    </row>
    <row r="227">
      <c r="A227" s="25"/>
      <c r="B227" s="25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2"/>
      <c r="N227" s="25"/>
    </row>
    <row r="228">
      <c r="A228" s="25"/>
      <c r="B228" s="25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2"/>
      <c r="N228" s="25"/>
    </row>
    <row r="229">
      <c r="A229" s="25"/>
      <c r="B229" s="25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2"/>
      <c r="N229" s="25"/>
    </row>
    <row r="230">
      <c r="A230" s="25"/>
      <c r="B230" s="25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2"/>
      <c r="N230" s="25"/>
    </row>
    <row r="231">
      <c r="A231" s="25"/>
      <c r="B231" s="25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2"/>
      <c r="N231" s="25"/>
    </row>
    <row r="232">
      <c r="A232" s="25"/>
      <c r="B232" s="25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2"/>
      <c r="N232" s="25"/>
    </row>
    <row r="233">
      <c r="A233" s="25"/>
      <c r="B233" s="25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2"/>
      <c r="N233" s="25"/>
    </row>
    <row r="234">
      <c r="A234" s="25"/>
      <c r="B234" s="25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2"/>
      <c r="N234" s="25"/>
    </row>
    <row r="235">
      <c r="A235" s="25"/>
      <c r="B235" s="25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2"/>
      <c r="N235" s="25"/>
    </row>
    <row r="236">
      <c r="A236" s="25"/>
      <c r="B236" s="25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2"/>
      <c r="N236" s="25"/>
    </row>
    <row r="237">
      <c r="A237" s="25"/>
      <c r="B237" s="25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2"/>
      <c r="N237" s="25"/>
    </row>
    <row r="238">
      <c r="A238" s="25"/>
      <c r="B238" s="25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2"/>
      <c r="N238" s="25"/>
    </row>
    <row r="239">
      <c r="A239" s="25"/>
      <c r="B239" s="25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2"/>
      <c r="N239" s="25"/>
    </row>
    <row r="240">
      <c r="A240" s="25"/>
      <c r="B240" s="25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2"/>
      <c r="N240" s="25"/>
    </row>
    <row r="241">
      <c r="A241" s="25"/>
      <c r="B241" s="25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2"/>
      <c r="N241" s="25"/>
    </row>
    <row r="242">
      <c r="A242" s="25"/>
      <c r="B242" s="25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2"/>
      <c r="N242" s="25"/>
    </row>
    <row r="243">
      <c r="A243" s="25"/>
      <c r="B243" s="25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2"/>
      <c r="N243" s="25"/>
    </row>
    <row r="244">
      <c r="A244" s="25"/>
      <c r="B244" s="25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2"/>
      <c r="N244" s="25"/>
    </row>
    <row r="245">
      <c r="A245" s="25"/>
      <c r="B245" s="25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2"/>
      <c r="N245" s="25"/>
    </row>
    <row r="246">
      <c r="A246" s="25"/>
      <c r="B246" s="25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2"/>
      <c r="N246" s="25"/>
    </row>
    <row r="247">
      <c r="A247" s="25"/>
      <c r="B247" s="25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2"/>
      <c r="N247" s="25"/>
    </row>
    <row r="248">
      <c r="A248" s="25"/>
      <c r="B248" s="25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2"/>
      <c r="N248" s="25"/>
    </row>
    <row r="249">
      <c r="A249" s="25"/>
      <c r="B249" s="25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2"/>
      <c r="N249" s="25"/>
    </row>
    <row r="250">
      <c r="A250" s="25"/>
      <c r="B250" s="25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2"/>
      <c r="N250" s="25"/>
    </row>
    <row r="251">
      <c r="A251" s="25"/>
      <c r="B251" s="25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2"/>
      <c r="N251" s="25"/>
    </row>
    <row r="252">
      <c r="A252" s="25"/>
      <c r="B252" s="25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2"/>
      <c r="N252" s="25"/>
    </row>
    <row r="253">
      <c r="A253" s="25"/>
      <c r="B253" s="25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2"/>
      <c r="N253" s="25"/>
    </row>
    <row r="254">
      <c r="A254" s="25"/>
      <c r="B254" s="25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2"/>
      <c r="N254" s="25"/>
    </row>
    <row r="255">
      <c r="A255" s="25"/>
      <c r="B255" s="25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2"/>
      <c r="N255" s="25"/>
    </row>
    <row r="256">
      <c r="A256" s="25"/>
      <c r="B256" s="25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2"/>
      <c r="N256" s="25"/>
    </row>
    <row r="257">
      <c r="A257" s="25"/>
      <c r="B257" s="25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2"/>
      <c r="N257" s="25"/>
    </row>
    <row r="258">
      <c r="A258" s="25"/>
      <c r="B258" s="25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2"/>
      <c r="N258" s="25"/>
    </row>
    <row r="259">
      <c r="A259" s="25"/>
      <c r="B259" s="25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2"/>
      <c r="N259" s="25"/>
    </row>
    <row r="260">
      <c r="A260" s="25"/>
      <c r="B260" s="25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2"/>
      <c r="N260" s="25"/>
    </row>
    <row r="261">
      <c r="A261" s="25"/>
      <c r="B261" s="25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2"/>
      <c r="N261" s="25"/>
    </row>
    <row r="262">
      <c r="A262" s="25"/>
      <c r="B262" s="25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2"/>
      <c r="N262" s="25"/>
    </row>
    <row r="263">
      <c r="A263" s="25"/>
      <c r="B263" s="25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2"/>
      <c r="N263" s="25"/>
    </row>
    <row r="264">
      <c r="A264" s="25"/>
      <c r="B264" s="25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2"/>
      <c r="N264" s="25"/>
    </row>
    <row r="265">
      <c r="A265" s="25"/>
      <c r="B265" s="25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2"/>
      <c r="N265" s="25"/>
    </row>
    <row r="266">
      <c r="A266" s="25"/>
      <c r="B266" s="25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2"/>
      <c r="N266" s="25"/>
    </row>
    <row r="267">
      <c r="A267" s="25"/>
      <c r="B267" s="25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2"/>
      <c r="N267" s="25"/>
    </row>
    <row r="268">
      <c r="A268" s="25"/>
      <c r="B268" s="25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2"/>
      <c r="N268" s="25"/>
    </row>
    <row r="269">
      <c r="A269" s="25"/>
      <c r="B269" s="25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2"/>
      <c r="N269" s="25"/>
    </row>
    <row r="270">
      <c r="A270" s="25"/>
      <c r="B270" s="25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2"/>
      <c r="N270" s="25"/>
    </row>
    <row r="271">
      <c r="A271" s="25"/>
      <c r="B271" s="25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2"/>
      <c r="N271" s="25"/>
    </row>
    <row r="272">
      <c r="A272" s="25"/>
      <c r="B272" s="25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2"/>
      <c r="N272" s="25"/>
    </row>
    <row r="273">
      <c r="A273" s="25"/>
      <c r="B273" s="25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2"/>
      <c r="N273" s="25"/>
    </row>
    <row r="274">
      <c r="A274" s="25"/>
      <c r="B274" s="25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2"/>
      <c r="N274" s="25"/>
    </row>
    <row r="275">
      <c r="A275" s="25"/>
      <c r="B275" s="25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2"/>
      <c r="N275" s="25"/>
    </row>
    <row r="276">
      <c r="A276" s="25"/>
      <c r="B276" s="25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2"/>
      <c r="N276" s="25"/>
    </row>
    <row r="277">
      <c r="A277" s="25"/>
      <c r="B277" s="25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2"/>
      <c r="N277" s="25"/>
    </row>
    <row r="278">
      <c r="A278" s="25"/>
      <c r="B278" s="25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2"/>
      <c r="N278" s="25"/>
    </row>
    <row r="279">
      <c r="A279" s="25"/>
      <c r="B279" s="25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2"/>
      <c r="N279" s="25"/>
    </row>
    <row r="280">
      <c r="A280" s="25"/>
      <c r="B280" s="25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2"/>
      <c r="N280" s="25"/>
    </row>
    <row r="281">
      <c r="A281" s="25"/>
      <c r="B281" s="25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2"/>
      <c r="N281" s="25"/>
    </row>
    <row r="282">
      <c r="A282" s="25"/>
      <c r="B282" s="25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2"/>
      <c r="N282" s="25"/>
    </row>
    <row r="283">
      <c r="A283" s="25"/>
      <c r="B283" s="25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2"/>
      <c r="N283" s="25"/>
    </row>
    <row r="284">
      <c r="A284" s="25"/>
      <c r="B284" s="25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2"/>
      <c r="N284" s="25"/>
    </row>
    <row r="285">
      <c r="A285" s="25"/>
      <c r="B285" s="25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2"/>
      <c r="N285" s="25"/>
    </row>
    <row r="286">
      <c r="A286" s="25"/>
      <c r="B286" s="25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2"/>
      <c r="N286" s="25"/>
    </row>
    <row r="287">
      <c r="A287" s="25"/>
      <c r="B287" s="25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2"/>
      <c r="N287" s="25"/>
    </row>
    <row r="288">
      <c r="A288" s="25"/>
      <c r="B288" s="25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2"/>
      <c r="N288" s="25"/>
    </row>
    <row r="289">
      <c r="A289" s="25"/>
      <c r="B289" s="25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2"/>
      <c r="N289" s="25"/>
    </row>
    <row r="290">
      <c r="A290" s="25"/>
      <c r="B290" s="25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2"/>
      <c r="N290" s="25"/>
    </row>
    <row r="291">
      <c r="A291" s="25"/>
      <c r="B291" s="25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2"/>
      <c r="N291" s="25"/>
    </row>
    <row r="292">
      <c r="A292" s="25"/>
      <c r="B292" s="25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2"/>
      <c r="N292" s="25"/>
    </row>
    <row r="293">
      <c r="A293" s="25"/>
      <c r="B293" s="25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2"/>
      <c r="N293" s="25"/>
    </row>
    <row r="294">
      <c r="A294" s="25"/>
      <c r="B294" s="25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2"/>
      <c r="N294" s="25"/>
    </row>
    <row r="295">
      <c r="A295" s="25"/>
      <c r="B295" s="25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2"/>
      <c r="N295" s="25"/>
    </row>
    <row r="296">
      <c r="A296" s="25"/>
      <c r="B296" s="25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2"/>
      <c r="N296" s="25"/>
    </row>
    <row r="297">
      <c r="A297" s="25"/>
      <c r="B297" s="25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2"/>
      <c r="N297" s="25"/>
    </row>
    <row r="298">
      <c r="A298" s="25"/>
      <c r="B298" s="25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2"/>
      <c r="N298" s="25"/>
    </row>
    <row r="299">
      <c r="A299" s="25"/>
      <c r="B299" s="25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2"/>
      <c r="N299" s="25"/>
    </row>
    <row r="300">
      <c r="A300" s="25"/>
      <c r="B300" s="25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2"/>
      <c r="N300" s="25"/>
    </row>
    <row r="301">
      <c r="A301" s="25"/>
      <c r="B301" s="25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2"/>
      <c r="N301" s="25"/>
    </row>
    <row r="302">
      <c r="A302" s="25"/>
      <c r="B302" s="25"/>
      <c r="C302" s="121"/>
      <c r="D302" s="121"/>
      <c r="E302" s="121"/>
      <c r="F302" s="121"/>
      <c r="G302" s="121"/>
      <c r="H302" s="121"/>
      <c r="I302" s="121"/>
      <c r="J302" s="121"/>
      <c r="K302" s="121"/>
      <c r="L302" s="121"/>
      <c r="M302" s="122"/>
      <c r="N302" s="25"/>
    </row>
    <row r="303">
      <c r="A303" s="25"/>
      <c r="B303" s="25"/>
      <c r="C303" s="121"/>
      <c r="D303" s="121"/>
      <c r="E303" s="121"/>
      <c r="F303" s="121"/>
      <c r="G303" s="121"/>
      <c r="H303" s="121"/>
      <c r="I303" s="121"/>
      <c r="J303" s="121"/>
      <c r="K303" s="121"/>
      <c r="L303" s="121"/>
      <c r="M303" s="122"/>
      <c r="N303" s="25"/>
    </row>
    <row r="304">
      <c r="A304" s="25"/>
      <c r="B304" s="25"/>
      <c r="C304" s="121"/>
      <c r="D304" s="121"/>
      <c r="E304" s="121"/>
      <c r="F304" s="121"/>
      <c r="G304" s="121"/>
      <c r="H304" s="121"/>
      <c r="I304" s="121"/>
      <c r="J304" s="121"/>
      <c r="K304" s="121"/>
      <c r="L304" s="121"/>
      <c r="M304" s="122"/>
      <c r="N304" s="25"/>
    </row>
    <row r="305">
      <c r="A305" s="25"/>
      <c r="B305" s="25"/>
      <c r="C305" s="121"/>
      <c r="D305" s="121"/>
      <c r="E305" s="121"/>
      <c r="F305" s="121"/>
      <c r="G305" s="121"/>
      <c r="H305" s="121"/>
      <c r="I305" s="121"/>
      <c r="J305" s="121"/>
      <c r="K305" s="121"/>
      <c r="L305" s="121"/>
      <c r="M305" s="122"/>
      <c r="N305" s="25"/>
    </row>
    <row r="306">
      <c r="A306" s="25"/>
      <c r="B306" s="25"/>
      <c r="C306" s="121"/>
      <c r="D306" s="121"/>
      <c r="E306" s="121"/>
      <c r="F306" s="121"/>
      <c r="G306" s="121"/>
      <c r="H306" s="121"/>
      <c r="I306" s="121"/>
      <c r="J306" s="121"/>
      <c r="K306" s="121"/>
      <c r="L306" s="121"/>
      <c r="M306" s="122"/>
      <c r="N306" s="25"/>
    </row>
    <row r="307">
      <c r="A307" s="25"/>
      <c r="B307" s="25"/>
      <c r="C307" s="121"/>
      <c r="D307" s="121"/>
      <c r="E307" s="121"/>
      <c r="F307" s="121"/>
      <c r="G307" s="121"/>
      <c r="H307" s="121"/>
      <c r="I307" s="121"/>
      <c r="J307" s="121"/>
      <c r="K307" s="121"/>
      <c r="L307" s="121"/>
      <c r="M307" s="122"/>
      <c r="N307" s="25"/>
    </row>
    <row r="308">
      <c r="A308" s="25"/>
      <c r="B308" s="25"/>
      <c r="C308" s="121"/>
      <c r="D308" s="121"/>
      <c r="E308" s="121"/>
      <c r="F308" s="121"/>
      <c r="G308" s="121"/>
      <c r="H308" s="121"/>
      <c r="I308" s="121"/>
      <c r="J308" s="121"/>
      <c r="K308" s="121"/>
      <c r="L308" s="121"/>
      <c r="M308" s="122"/>
      <c r="N308" s="25"/>
    </row>
    <row r="309">
      <c r="A309" s="25"/>
      <c r="B309" s="25"/>
      <c r="C309" s="121"/>
      <c r="D309" s="121"/>
      <c r="E309" s="121"/>
      <c r="F309" s="121"/>
      <c r="G309" s="121"/>
      <c r="H309" s="121"/>
      <c r="I309" s="121"/>
      <c r="J309" s="121"/>
      <c r="K309" s="121"/>
      <c r="L309" s="121"/>
      <c r="M309" s="122"/>
      <c r="N309" s="25"/>
    </row>
    <row r="310">
      <c r="A310" s="25"/>
      <c r="B310" s="25"/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2"/>
      <c r="N310" s="25"/>
    </row>
    <row r="311">
      <c r="A311" s="25"/>
      <c r="B311" s="25"/>
      <c r="C311" s="121"/>
      <c r="D311" s="121"/>
      <c r="E311" s="121"/>
      <c r="F311" s="121"/>
      <c r="G311" s="121"/>
      <c r="H311" s="121"/>
      <c r="I311" s="121"/>
      <c r="J311" s="121"/>
      <c r="K311" s="121"/>
      <c r="L311" s="121"/>
      <c r="M311" s="122"/>
      <c r="N311" s="25"/>
    </row>
    <row r="312">
      <c r="A312" s="25"/>
      <c r="B312" s="25"/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2"/>
      <c r="N312" s="25"/>
    </row>
    <row r="313">
      <c r="A313" s="25"/>
      <c r="B313" s="25"/>
      <c r="C313" s="121"/>
      <c r="D313" s="121"/>
      <c r="E313" s="121"/>
      <c r="F313" s="121"/>
      <c r="G313" s="121"/>
      <c r="H313" s="121"/>
      <c r="I313" s="121"/>
      <c r="J313" s="121"/>
      <c r="K313" s="121"/>
      <c r="L313" s="121"/>
      <c r="M313" s="122"/>
      <c r="N313" s="25"/>
    </row>
    <row r="314">
      <c r="A314" s="25"/>
      <c r="B314" s="25"/>
      <c r="C314" s="121"/>
      <c r="D314" s="121"/>
      <c r="E314" s="121"/>
      <c r="F314" s="121"/>
      <c r="G314" s="121"/>
      <c r="H314" s="121"/>
      <c r="I314" s="121"/>
      <c r="J314" s="121"/>
      <c r="K314" s="121"/>
      <c r="L314" s="121"/>
      <c r="M314" s="122"/>
      <c r="N314" s="25"/>
    </row>
    <row r="315">
      <c r="A315" s="25"/>
      <c r="B315" s="25"/>
      <c r="C315" s="121"/>
      <c r="D315" s="121"/>
      <c r="E315" s="121"/>
      <c r="F315" s="121"/>
      <c r="G315" s="121"/>
      <c r="H315" s="121"/>
      <c r="I315" s="121"/>
      <c r="J315" s="121"/>
      <c r="K315" s="121"/>
      <c r="L315" s="121"/>
      <c r="M315" s="122"/>
      <c r="N315" s="25"/>
    </row>
    <row r="316">
      <c r="A316" s="25"/>
      <c r="B316" s="25"/>
      <c r="C316" s="121"/>
      <c r="D316" s="121"/>
      <c r="E316" s="121"/>
      <c r="F316" s="121"/>
      <c r="G316" s="121"/>
      <c r="H316" s="121"/>
      <c r="I316" s="121"/>
      <c r="J316" s="121"/>
      <c r="K316" s="121"/>
      <c r="L316" s="121"/>
      <c r="M316" s="122"/>
      <c r="N316" s="25"/>
    </row>
    <row r="317">
      <c r="A317" s="25"/>
      <c r="B317" s="25"/>
      <c r="C317" s="121"/>
      <c r="D317" s="121"/>
      <c r="E317" s="121"/>
      <c r="F317" s="121"/>
      <c r="G317" s="121"/>
      <c r="H317" s="121"/>
      <c r="I317" s="121"/>
      <c r="J317" s="121"/>
      <c r="K317" s="121"/>
      <c r="L317" s="121"/>
      <c r="M317" s="122"/>
      <c r="N317" s="25"/>
    </row>
    <row r="318">
      <c r="A318" s="25"/>
      <c r="B318" s="25"/>
      <c r="C318" s="121"/>
      <c r="D318" s="121"/>
      <c r="E318" s="121"/>
      <c r="F318" s="121"/>
      <c r="G318" s="121"/>
      <c r="H318" s="121"/>
      <c r="I318" s="121"/>
      <c r="J318" s="121"/>
      <c r="K318" s="121"/>
      <c r="L318" s="121"/>
      <c r="M318" s="122"/>
      <c r="N318" s="25"/>
    </row>
    <row r="319">
      <c r="A319" s="25"/>
      <c r="B319" s="25"/>
      <c r="C319" s="121"/>
      <c r="D319" s="121"/>
      <c r="E319" s="121"/>
      <c r="F319" s="121"/>
      <c r="G319" s="121"/>
      <c r="H319" s="121"/>
      <c r="I319" s="121"/>
      <c r="J319" s="121"/>
      <c r="K319" s="121"/>
      <c r="L319" s="121"/>
      <c r="M319" s="122"/>
      <c r="N319" s="25"/>
    </row>
    <row r="320">
      <c r="A320" s="25"/>
      <c r="B320" s="25"/>
      <c r="C320" s="121"/>
      <c r="D320" s="121"/>
      <c r="E320" s="121"/>
      <c r="F320" s="121"/>
      <c r="G320" s="121"/>
      <c r="H320" s="121"/>
      <c r="I320" s="121"/>
      <c r="J320" s="121"/>
      <c r="K320" s="121"/>
      <c r="L320" s="121"/>
      <c r="M320" s="122"/>
      <c r="N320" s="25"/>
    </row>
    <row r="321">
      <c r="A321" s="25"/>
      <c r="B321" s="25"/>
      <c r="C321" s="121"/>
      <c r="D321" s="121"/>
      <c r="E321" s="121"/>
      <c r="F321" s="121"/>
      <c r="G321" s="121"/>
      <c r="H321" s="121"/>
      <c r="I321" s="121"/>
      <c r="J321" s="121"/>
      <c r="K321" s="121"/>
      <c r="L321" s="121"/>
      <c r="M321" s="122"/>
      <c r="N321" s="25"/>
    </row>
    <row r="322">
      <c r="A322" s="25"/>
      <c r="B322" s="25"/>
      <c r="C322" s="121"/>
      <c r="D322" s="121"/>
      <c r="E322" s="121"/>
      <c r="F322" s="121"/>
      <c r="G322" s="121"/>
      <c r="H322" s="121"/>
      <c r="I322" s="121"/>
      <c r="J322" s="121"/>
      <c r="K322" s="121"/>
      <c r="L322" s="121"/>
      <c r="M322" s="122"/>
      <c r="N322" s="25"/>
    </row>
    <row r="323">
      <c r="A323" s="25"/>
      <c r="B323" s="25"/>
      <c r="C323" s="121"/>
      <c r="D323" s="121"/>
      <c r="E323" s="121"/>
      <c r="F323" s="121"/>
      <c r="G323" s="121"/>
      <c r="H323" s="121"/>
      <c r="I323" s="121"/>
      <c r="J323" s="121"/>
      <c r="K323" s="121"/>
      <c r="L323" s="121"/>
      <c r="M323" s="122"/>
      <c r="N323" s="25"/>
    </row>
    <row r="324">
      <c r="A324" s="25"/>
      <c r="B324" s="25"/>
      <c r="C324" s="121"/>
      <c r="D324" s="121"/>
      <c r="E324" s="121"/>
      <c r="F324" s="121"/>
      <c r="G324" s="121"/>
      <c r="H324" s="121"/>
      <c r="I324" s="121"/>
      <c r="J324" s="121"/>
      <c r="K324" s="121"/>
      <c r="L324" s="121"/>
      <c r="M324" s="122"/>
      <c r="N324" s="25"/>
    </row>
    <row r="325">
      <c r="A325" s="25"/>
      <c r="B325" s="25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2"/>
      <c r="N325" s="25"/>
    </row>
    <row r="326">
      <c r="A326" s="25"/>
      <c r="B326" s="25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2"/>
      <c r="N326" s="25"/>
    </row>
    <row r="327">
      <c r="A327" s="25"/>
      <c r="B327" s="25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2"/>
      <c r="N327" s="25"/>
    </row>
    <row r="328">
      <c r="A328" s="25"/>
      <c r="B328" s="25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2"/>
      <c r="N328" s="25"/>
    </row>
    <row r="329">
      <c r="A329" s="25"/>
      <c r="B329" s="25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2"/>
      <c r="N329" s="25"/>
    </row>
    <row r="330">
      <c r="A330" s="25"/>
      <c r="B330" s="25"/>
      <c r="C330" s="121"/>
      <c r="D330" s="121"/>
      <c r="E330" s="121"/>
      <c r="F330" s="121"/>
      <c r="G330" s="121"/>
      <c r="H330" s="121"/>
      <c r="I330" s="121"/>
      <c r="J330" s="121"/>
      <c r="K330" s="121"/>
      <c r="L330" s="121"/>
      <c r="M330" s="122"/>
      <c r="N330" s="25"/>
    </row>
    <row r="331">
      <c r="A331" s="25"/>
      <c r="B331" s="25"/>
      <c r="C331" s="121"/>
      <c r="D331" s="121"/>
      <c r="E331" s="121"/>
      <c r="F331" s="121"/>
      <c r="G331" s="121"/>
      <c r="H331" s="121"/>
      <c r="I331" s="121"/>
      <c r="J331" s="121"/>
      <c r="K331" s="121"/>
      <c r="L331" s="121"/>
      <c r="M331" s="122"/>
      <c r="N331" s="25"/>
    </row>
    <row r="332">
      <c r="A332" s="25"/>
      <c r="B332" s="25"/>
      <c r="C332" s="121"/>
      <c r="D332" s="121"/>
      <c r="E332" s="121"/>
      <c r="F332" s="121"/>
      <c r="G332" s="121"/>
      <c r="H332" s="121"/>
      <c r="I332" s="121"/>
      <c r="J332" s="121"/>
      <c r="K332" s="121"/>
      <c r="L332" s="121"/>
      <c r="M332" s="122"/>
      <c r="N332" s="25"/>
    </row>
    <row r="333">
      <c r="A333" s="25"/>
      <c r="B333" s="25"/>
      <c r="C333" s="121"/>
      <c r="D333" s="121"/>
      <c r="E333" s="121"/>
      <c r="F333" s="121"/>
      <c r="G333" s="121"/>
      <c r="H333" s="121"/>
      <c r="I333" s="121"/>
      <c r="J333" s="121"/>
      <c r="K333" s="121"/>
      <c r="L333" s="121"/>
      <c r="M333" s="122"/>
      <c r="N333" s="25"/>
    </row>
    <row r="334">
      <c r="A334" s="25"/>
      <c r="B334" s="25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2"/>
      <c r="N334" s="25"/>
    </row>
    <row r="335">
      <c r="A335" s="25"/>
      <c r="B335" s="25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2"/>
      <c r="N335" s="25"/>
    </row>
    <row r="336">
      <c r="A336" s="25"/>
      <c r="B336" s="25"/>
      <c r="C336" s="121"/>
      <c r="D336" s="121"/>
      <c r="E336" s="121"/>
      <c r="F336" s="121"/>
      <c r="G336" s="121"/>
      <c r="H336" s="121"/>
      <c r="I336" s="121"/>
      <c r="J336" s="121"/>
      <c r="K336" s="121"/>
      <c r="L336" s="121"/>
      <c r="M336" s="122"/>
      <c r="N336" s="25"/>
    </row>
    <row r="337">
      <c r="A337" s="25"/>
      <c r="B337" s="25"/>
      <c r="C337" s="121"/>
      <c r="D337" s="121"/>
      <c r="E337" s="121"/>
      <c r="F337" s="121"/>
      <c r="G337" s="121"/>
      <c r="H337" s="121"/>
      <c r="I337" s="121"/>
      <c r="J337" s="121"/>
      <c r="K337" s="121"/>
      <c r="L337" s="121"/>
      <c r="M337" s="122"/>
      <c r="N337" s="25"/>
    </row>
    <row r="338">
      <c r="A338" s="25"/>
      <c r="B338" s="25"/>
      <c r="C338" s="121"/>
      <c r="D338" s="121"/>
      <c r="E338" s="121"/>
      <c r="F338" s="121"/>
      <c r="G338" s="121"/>
      <c r="H338" s="121"/>
      <c r="I338" s="121"/>
      <c r="J338" s="121"/>
      <c r="K338" s="121"/>
      <c r="L338" s="121"/>
      <c r="M338" s="122"/>
      <c r="N338" s="25"/>
    </row>
    <row r="339">
      <c r="A339" s="25"/>
      <c r="B339" s="25"/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2"/>
      <c r="N339" s="25"/>
    </row>
    <row r="340">
      <c r="A340" s="25"/>
      <c r="B340" s="25"/>
      <c r="C340" s="121"/>
      <c r="D340" s="121"/>
      <c r="E340" s="121"/>
      <c r="F340" s="121"/>
      <c r="G340" s="121"/>
      <c r="H340" s="121"/>
      <c r="I340" s="121"/>
      <c r="J340" s="121"/>
      <c r="K340" s="121"/>
      <c r="L340" s="121"/>
      <c r="M340" s="122"/>
      <c r="N340" s="25"/>
    </row>
    <row r="341">
      <c r="A341" s="25"/>
      <c r="B341" s="25"/>
      <c r="C341" s="121"/>
      <c r="D341" s="121"/>
      <c r="E341" s="121"/>
      <c r="F341" s="121"/>
      <c r="G341" s="121"/>
      <c r="H341" s="121"/>
      <c r="I341" s="121"/>
      <c r="J341" s="121"/>
      <c r="K341" s="121"/>
      <c r="L341" s="121"/>
      <c r="M341" s="122"/>
      <c r="N341" s="25"/>
    </row>
    <row r="342">
      <c r="A342" s="25"/>
      <c r="B342" s="25"/>
      <c r="C342" s="121"/>
      <c r="D342" s="121"/>
      <c r="E342" s="121"/>
      <c r="F342" s="121"/>
      <c r="G342" s="121"/>
      <c r="H342" s="121"/>
      <c r="I342" s="121"/>
      <c r="J342" s="121"/>
      <c r="K342" s="121"/>
      <c r="L342" s="121"/>
      <c r="M342" s="122"/>
      <c r="N342" s="25"/>
    </row>
    <row r="343">
      <c r="A343" s="25"/>
      <c r="B343" s="25"/>
      <c r="C343" s="121"/>
      <c r="D343" s="121"/>
      <c r="E343" s="121"/>
      <c r="F343" s="121"/>
      <c r="G343" s="121"/>
      <c r="H343" s="121"/>
      <c r="I343" s="121"/>
      <c r="J343" s="121"/>
      <c r="K343" s="121"/>
      <c r="L343" s="121"/>
      <c r="M343" s="122"/>
      <c r="N343" s="25"/>
    </row>
    <row r="344">
      <c r="A344" s="25"/>
      <c r="B344" s="25"/>
      <c r="C344" s="121"/>
      <c r="D344" s="121"/>
      <c r="E344" s="121"/>
      <c r="F344" s="121"/>
      <c r="G344" s="121"/>
      <c r="H344" s="121"/>
      <c r="I344" s="121"/>
      <c r="J344" s="121"/>
      <c r="K344" s="121"/>
      <c r="L344" s="121"/>
      <c r="M344" s="122"/>
      <c r="N344" s="25"/>
    </row>
    <row r="345">
      <c r="A345" s="25"/>
      <c r="B345" s="25"/>
      <c r="C345" s="121"/>
      <c r="D345" s="121"/>
      <c r="E345" s="121"/>
      <c r="F345" s="121"/>
      <c r="G345" s="121"/>
      <c r="H345" s="121"/>
      <c r="I345" s="121"/>
      <c r="J345" s="121"/>
      <c r="K345" s="121"/>
      <c r="L345" s="121"/>
      <c r="M345" s="122"/>
      <c r="N345" s="25"/>
    </row>
    <row r="346">
      <c r="A346" s="25"/>
      <c r="B346" s="25"/>
      <c r="C346" s="121"/>
      <c r="D346" s="121"/>
      <c r="E346" s="121"/>
      <c r="F346" s="121"/>
      <c r="G346" s="121"/>
      <c r="H346" s="121"/>
      <c r="I346" s="121"/>
      <c r="J346" s="121"/>
      <c r="K346" s="121"/>
      <c r="L346" s="121"/>
      <c r="M346" s="122"/>
      <c r="N346" s="25"/>
    </row>
    <row r="347">
      <c r="A347" s="25"/>
      <c r="B347" s="25"/>
      <c r="C347" s="121"/>
      <c r="D347" s="121"/>
      <c r="E347" s="121"/>
      <c r="F347" s="121"/>
      <c r="G347" s="121"/>
      <c r="H347" s="121"/>
      <c r="I347" s="121"/>
      <c r="J347" s="121"/>
      <c r="K347" s="121"/>
      <c r="L347" s="121"/>
      <c r="M347" s="122"/>
      <c r="N347" s="25"/>
    </row>
    <row r="348">
      <c r="A348" s="25"/>
      <c r="B348" s="25"/>
      <c r="C348" s="121"/>
      <c r="D348" s="121"/>
      <c r="E348" s="121"/>
      <c r="F348" s="121"/>
      <c r="G348" s="121"/>
      <c r="H348" s="121"/>
      <c r="I348" s="121"/>
      <c r="J348" s="121"/>
      <c r="K348" s="121"/>
      <c r="L348" s="121"/>
      <c r="M348" s="122"/>
      <c r="N348" s="25"/>
    </row>
    <row r="349">
      <c r="A349" s="25"/>
      <c r="B349" s="25"/>
      <c r="C349" s="121"/>
      <c r="D349" s="121"/>
      <c r="E349" s="121"/>
      <c r="F349" s="121"/>
      <c r="G349" s="121"/>
      <c r="H349" s="121"/>
      <c r="I349" s="121"/>
      <c r="J349" s="121"/>
      <c r="K349" s="121"/>
      <c r="L349" s="121"/>
      <c r="M349" s="122"/>
      <c r="N349" s="25"/>
    </row>
    <row r="350">
      <c r="A350" s="25"/>
      <c r="B350" s="25"/>
      <c r="C350" s="121"/>
      <c r="D350" s="121"/>
      <c r="E350" s="121"/>
      <c r="F350" s="121"/>
      <c r="G350" s="121"/>
      <c r="H350" s="121"/>
      <c r="I350" s="121"/>
      <c r="J350" s="121"/>
      <c r="K350" s="121"/>
      <c r="L350" s="121"/>
      <c r="M350" s="122"/>
      <c r="N350" s="25"/>
    </row>
    <row r="351">
      <c r="A351" s="25"/>
      <c r="B351" s="25"/>
      <c r="C351" s="121"/>
      <c r="D351" s="121"/>
      <c r="E351" s="121"/>
      <c r="F351" s="121"/>
      <c r="G351" s="121"/>
      <c r="H351" s="121"/>
      <c r="I351" s="121"/>
      <c r="J351" s="121"/>
      <c r="K351" s="121"/>
      <c r="L351" s="121"/>
      <c r="M351" s="122"/>
      <c r="N351" s="25"/>
    </row>
    <row r="352">
      <c r="A352" s="25"/>
      <c r="B352" s="25"/>
      <c r="C352" s="121"/>
      <c r="D352" s="121"/>
      <c r="E352" s="121"/>
      <c r="F352" s="121"/>
      <c r="G352" s="121"/>
      <c r="H352" s="121"/>
      <c r="I352" s="121"/>
      <c r="J352" s="121"/>
      <c r="K352" s="121"/>
      <c r="L352" s="121"/>
      <c r="M352" s="122"/>
      <c r="N352" s="25"/>
    </row>
    <row r="353">
      <c r="A353" s="25"/>
      <c r="B353" s="25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2"/>
      <c r="N353" s="25"/>
    </row>
    <row r="354">
      <c r="A354" s="25"/>
      <c r="B354" s="25"/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2"/>
      <c r="N354" s="25"/>
    </row>
    <row r="355">
      <c r="A355" s="25"/>
      <c r="B355" s="25"/>
      <c r="C355" s="121"/>
      <c r="D355" s="121"/>
      <c r="E355" s="121"/>
      <c r="F355" s="121"/>
      <c r="G355" s="121"/>
      <c r="H355" s="121"/>
      <c r="I355" s="121"/>
      <c r="J355" s="121"/>
      <c r="K355" s="121"/>
      <c r="L355" s="121"/>
      <c r="M355" s="122"/>
      <c r="N355" s="25"/>
    </row>
    <row r="356">
      <c r="A356" s="25"/>
      <c r="B356" s="25"/>
      <c r="C356" s="121"/>
      <c r="D356" s="121"/>
      <c r="E356" s="121"/>
      <c r="F356" s="121"/>
      <c r="G356" s="121"/>
      <c r="H356" s="121"/>
      <c r="I356" s="121"/>
      <c r="J356" s="121"/>
      <c r="K356" s="121"/>
      <c r="L356" s="121"/>
      <c r="M356" s="122"/>
      <c r="N356" s="25"/>
    </row>
    <row r="357">
      <c r="A357" s="25"/>
      <c r="B357" s="25"/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2"/>
      <c r="N357" s="25"/>
    </row>
    <row r="358">
      <c r="A358" s="25"/>
      <c r="B358" s="25"/>
      <c r="C358" s="121"/>
      <c r="D358" s="121"/>
      <c r="E358" s="121"/>
      <c r="F358" s="121"/>
      <c r="G358" s="121"/>
      <c r="H358" s="121"/>
      <c r="I358" s="121"/>
      <c r="J358" s="121"/>
      <c r="K358" s="121"/>
      <c r="L358" s="121"/>
      <c r="M358" s="122"/>
      <c r="N358" s="25"/>
    </row>
    <row r="359">
      <c r="A359" s="25"/>
      <c r="B359" s="25"/>
      <c r="C359" s="121"/>
      <c r="D359" s="121"/>
      <c r="E359" s="121"/>
      <c r="F359" s="121"/>
      <c r="G359" s="121"/>
      <c r="H359" s="121"/>
      <c r="I359" s="121"/>
      <c r="J359" s="121"/>
      <c r="K359" s="121"/>
      <c r="L359" s="121"/>
      <c r="M359" s="122"/>
      <c r="N359" s="25"/>
    </row>
    <row r="360">
      <c r="A360" s="25"/>
      <c r="B360" s="25"/>
      <c r="C360" s="121"/>
      <c r="D360" s="121"/>
      <c r="E360" s="121"/>
      <c r="F360" s="121"/>
      <c r="G360" s="121"/>
      <c r="H360" s="121"/>
      <c r="I360" s="121"/>
      <c r="J360" s="121"/>
      <c r="K360" s="121"/>
      <c r="L360" s="121"/>
      <c r="M360" s="122"/>
      <c r="N360" s="25"/>
    </row>
    <row r="361">
      <c r="A361" s="25"/>
      <c r="B361" s="25"/>
      <c r="C361" s="121"/>
      <c r="D361" s="121"/>
      <c r="E361" s="121"/>
      <c r="F361" s="121"/>
      <c r="G361" s="121"/>
      <c r="H361" s="121"/>
      <c r="I361" s="121"/>
      <c r="J361" s="121"/>
      <c r="K361" s="121"/>
      <c r="L361" s="121"/>
      <c r="M361" s="122"/>
      <c r="N361" s="25"/>
    </row>
    <row r="362">
      <c r="A362" s="25"/>
      <c r="B362" s="25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2"/>
      <c r="N362" s="25"/>
    </row>
    <row r="363">
      <c r="A363" s="25"/>
      <c r="B363" s="25"/>
      <c r="C363" s="121"/>
      <c r="D363" s="121"/>
      <c r="E363" s="121"/>
      <c r="F363" s="121"/>
      <c r="G363" s="121"/>
      <c r="H363" s="121"/>
      <c r="I363" s="121"/>
      <c r="J363" s="121"/>
      <c r="K363" s="121"/>
      <c r="L363" s="121"/>
      <c r="M363" s="122"/>
      <c r="N363" s="25"/>
    </row>
    <row r="364">
      <c r="A364" s="25"/>
      <c r="B364" s="25"/>
      <c r="C364" s="121"/>
      <c r="D364" s="121"/>
      <c r="E364" s="121"/>
      <c r="F364" s="121"/>
      <c r="G364" s="121"/>
      <c r="H364" s="121"/>
      <c r="I364" s="121"/>
      <c r="J364" s="121"/>
      <c r="K364" s="121"/>
      <c r="L364" s="121"/>
      <c r="M364" s="122"/>
      <c r="N364" s="25"/>
    </row>
    <row r="365">
      <c r="A365" s="25"/>
      <c r="B365" s="25"/>
      <c r="C365" s="121"/>
      <c r="D365" s="121"/>
      <c r="E365" s="121"/>
      <c r="F365" s="121"/>
      <c r="G365" s="121"/>
      <c r="H365" s="121"/>
      <c r="I365" s="121"/>
      <c r="J365" s="121"/>
      <c r="K365" s="121"/>
      <c r="L365" s="121"/>
      <c r="M365" s="122"/>
      <c r="N365" s="25"/>
    </row>
    <row r="366">
      <c r="A366" s="25"/>
      <c r="B366" s="25"/>
      <c r="C366" s="121"/>
      <c r="D366" s="121"/>
      <c r="E366" s="121"/>
      <c r="F366" s="121"/>
      <c r="G366" s="121"/>
      <c r="H366" s="121"/>
      <c r="I366" s="121"/>
      <c r="J366" s="121"/>
      <c r="K366" s="121"/>
      <c r="L366" s="121"/>
      <c r="M366" s="122"/>
      <c r="N366" s="25"/>
    </row>
    <row r="367">
      <c r="A367" s="25"/>
      <c r="B367" s="25"/>
      <c r="C367" s="121"/>
      <c r="D367" s="121"/>
      <c r="E367" s="121"/>
      <c r="F367" s="121"/>
      <c r="G367" s="121"/>
      <c r="H367" s="121"/>
      <c r="I367" s="121"/>
      <c r="J367" s="121"/>
      <c r="K367" s="121"/>
      <c r="L367" s="121"/>
      <c r="M367" s="122"/>
      <c r="N367" s="25"/>
    </row>
    <row r="368">
      <c r="A368" s="25"/>
      <c r="B368" s="25"/>
      <c r="C368" s="121"/>
      <c r="D368" s="121"/>
      <c r="E368" s="121"/>
      <c r="F368" s="121"/>
      <c r="G368" s="121"/>
      <c r="H368" s="121"/>
      <c r="I368" s="121"/>
      <c r="J368" s="121"/>
      <c r="K368" s="121"/>
      <c r="L368" s="121"/>
      <c r="M368" s="122"/>
      <c r="N368" s="25"/>
    </row>
    <row r="369">
      <c r="A369" s="25"/>
      <c r="B369" s="25"/>
      <c r="C369" s="121"/>
      <c r="D369" s="121"/>
      <c r="E369" s="121"/>
      <c r="F369" s="121"/>
      <c r="G369" s="121"/>
      <c r="H369" s="121"/>
      <c r="I369" s="121"/>
      <c r="J369" s="121"/>
      <c r="K369" s="121"/>
      <c r="L369" s="121"/>
      <c r="M369" s="122"/>
      <c r="N369" s="25"/>
    </row>
    <row r="370">
      <c r="A370" s="25"/>
      <c r="B370" s="25"/>
      <c r="C370" s="121"/>
      <c r="D370" s="121"/>
      <c r="E370" s="121"/>
      <c r="F370" s="121"/>
      <c r="G370" s="121"/>
      <c r="H370" s="121"/>
      <c r="I370" s="121"/>
      <c r="J370" s="121"/>
      <c r="K370" s="121"/>
      <c r="L370" s="121"/>
      <c r="M370" s="122"/>
      <c r="N370" s="25"/>
    </row>
    <row r="371">
      <c r="A371" s="25"/>
      <c r="B371" s="25"/>
      <c r="C371" s="121"/>
      <c r="D371" s="121"/>
      <c r="E371" s="121"/>
      <c r="F371" s="121"/>
      <c r="G371" s="121"/>
      <c r="H371" s="121"/>
      <c r="I371" s="121"/>
      <c r="J371" s="121"/>
      <c r="K371" s="121"/>
      <c r="L371" s="121"/>
      <c r="M371" s="122"/>
      <c r="N371" s="25"/>
    </row>
    <row r="372">
      <c r="A372" s="25"/>
      <c r="B372" s="25"/>
      <c r="C372" s="121"/>
      <c r="D372" s="121"/>
      <c r="E372" s="121"/>
      <c r="F372" s="121"/>
      <c r="G372" s="121"/>
      <c r="H372" s="121"/>
      <c r="I372" s="121"/>
      <c r="J372" s="121"/>
      <c r="K372" s="121"/>
      <c r="L372" s="121"/>
      <c r="M372" s="122"/>
      <c r="N372" s="25"/>
    </row>
    <row r="373">
      <c r="A373" s="25"/>
      <c r="B373" s="25"/>
      <c r="C373" s="121"/>
      <c r="D373" s="121"/>
      <c r="E373" s="121"/>
      <c r="F373" s="121"/>
      <c r="G373" s="121"/>
      <c r="H373" s="121"/>
      <c r="I373" s="121"/>
      <c r="J373" s="121"/>
      <c r="K373" s="121"/>
      <c r="L373" s="121"/>
      <c r="M373" s="122"/>
      <c r="N373" s="25"/>
    </row>
    <row r="374">
      <c r="A374" s="25"/>
      <c r="B374" s="25"/>
      <c r="C374" s="121"/>
      <c r="D374" s="121"/>
      <c r="E374" s="121"/>
      <c r="F374" s="121"/>
      <c r="G374" s="121"/>
      <c r="H374" s="121"/>
      <c r="I374" s="121"/>
      <c r="J374" s="121"/>
      <c r="K374" s="121"/>
      <c r="L374" s="121"/>
      <c r="M374" s="122"/>
      <c r="N374" s="25"/>
    </row>
    <row r="375">
      <c r="A375" s="25"/>
      <c r="B375" s="25"/>
      <c r="C375" s="121"/>
      <c r="D375" s="121"/>
      <c r="E375" s="121"/>
      <c r="F375" s="121"/>
      <c r="G375" s="121"/>
      <c r="H375" s="121"/>
      <c r="I375" s="121"/>
      <c r="J375" s="121"/>
      <c r="K375" s="121"/>
      <c r="L375" s="121"/>
      <c r="M375" s="122"/>
      <c r="N375" s="25"/>
    </row>
    <row r="376">
      <c r="A376" s="25"/>
      <c r="B376" s="25"/>
      <c r="C376" s="121"/>
      <c r="D376" s="121"/>
      <c r="E376" s="121"/>
      <c r="F376" s="121"/>
      <c r="G376" s="121"/>
      <c r="H376" s="121"/>
      <c r="I376" s="121"/>
      <c r="J376" s="121"/>
      <c r="K376" s="121"/>
      <c r="L376" s="121"/>
      <c r="M376" s="122"/>
      <c r="N376" s="25"/>
    </row>
    <row r="377">
      <c r="A377" s="25"/>
      <c r="B377" s="25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2"/>
      <c r="N377" s="25"/>
    </row>
    <row r="378">
      <c r="A378" s="25"/>
      <c r="B378" s="25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2"/>
      <c r="N378" s="25"/>
    </row>
    <row r="379">
      <c r="A379" s="25"/>
      <c r="B379" s="25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2"/>
      <c r="N379" s="25"/>
    </row>
    <row r="380">
      <c r="A380" s="25"/>
      <c r="B380" s="25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2"/>
      <c r="N380" s="25"/>
    </row>
    <row r="381">
      <c r="A381" s="25"/>
      <c r="B381" s="25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2"/>
      <c r="N381" s="25"/>
    </row>
    <row r="382">
      <c r="A382" s="25"/>
      <c r="B382" s="25"/>
      <c r="C382" s="121"/>
      <c r="D382" s="121"/>
      <c r="E382" s="121"/>
      <c r="F382" s="121"/>
      <c r="G382" s="121"/>
      <c r="H382" s="121"/>
      <c r="I382" s="121"/>
      <c r="J382" s="121"/>
      <c r="K382" s="121"/>
      <c r="L382" s="121"/>
      <c r="M382" s="122"/>
      <c r="N382" s="25"/>
    </row>
    <row r="383">
      <c r="A383" s="25"/>
      <c r="B383" s="25"/>
      <c r="C383" s="121"/>
      <c r="D383" s="121"/>
      <c r="E383" s="121"/>
      <c r="F383" s="121"/>
      <c r="G383" s="121"/>
      <c r="H383" s="121"/>
      <c r="I383" s="121"/>
      <c r="J383" s="121"/>
      <c r="K383" s="121"/>
      <c r="L383" s="121"/>
      <c r="M383" s="122"/>
      <c r="N383" s="25"/>
    </row>
    <row r="384">
      <c r="A384" s="25"/>
      <c r="B384" s="25"/>
      <c r="C384" s="121"/>
      <c r="D384" s="121"/>
      <c r="E384" s="121"/>
      <c r="F384" s="121"/>
      <c r="G384" s="121"/>
      <c r="H384" s="121"/>
      <c r="I384" s="121"/>
      <c r="J384" s="121"/>
      <c r="K384" s="121"/>
      <c r="L384" s="121"/>
      <c r="M384" s="122"/>
      <c r="N384" s="25"/>
    </row>
    <row r="385">
      <c r="A385" s="25"/>
      <c r="B385" s="25"/>
      <c r="C385" s="121"/>
      <c r="D385" s="121"/>
      <c r="E385" s="121"/>
      <c r="F385" s="121"/>
      <c r="G385" s="121"/>
      <c r="H385" s="121"/>
      <c r="I385" s="121"/>
      <c r="J385" s="121"/>
      <c r="K385" s="121"/>
      <c r="L385" s="121"/>
      <c r="M385" s="122"/>
      <c r="N385" s="25"/>
    </row>
    <row r="386">
      <c r="A386" s="25"/>
      <c r="B386" s="25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2"/>
      <c r="N386" s="25"/>
    </row>
    <row r="387">
      <c r="A387" s="25"/>
      <c r="B387" s="25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2"/>
      <c r="N387" s="25"/>
    </row>
    <row r="388">
      <c r="A388" s="25"/>
      <c r="B388" s="25"/>
      <c r="C388" s="121"/>
      <c r="D388" s="121"/>
      <c r="E388" s="121"/>
      <c r="F388" s="121"/>
      <c r="G388" s="121"/>
      <c r="H388" s="121"/>
      <c r="I388" s="121"/>
      <c r="J388" s="121"/>
      <c r="K388" s="121"/>
      <c r="L388" s="121"/>
      <c r="M388" s="122"/>
      <c r="N388" s="25"/>
    </row>
    <row r="389">
      <c r="A389" s="25"/>
      <c r="B389" s="25"/>
      <c r="C389" s="121"/>
      <c r="D389" s="121"/>
      <c r="E389" s="121"/>
      <c r="F389" s="121"/>
      <c r="G389" s="121"/>
      <c r="H389" s="121"/>
      <c r="I389" s="121"/>
      <c r="J389" s="121"/>
      <c r="K389" s="121"/>
      <c r="L389" s="121"/>
      <c r="M389" s="122"/>
      <c r="N389" s="25"/>
    </row>
    <row r="390">
      <c r="A390" s="25"/>
      <c r="B390" s="25"/>
      <c r="C390" s="121"/>
      <c r="D390" s="121"/>
      <c r="E390" s="121"/>
      <c r="F390" s="121"/>
      <c r="G390" s="121"/>
      <c r="H390" s="121"/>
      <c r="I390" s="121"/>
      <c r="J390" s="121"/>
      <c r="K390" s="121"/>
      <c r="L390" s="121"/>
      <c r="M390" s="122"/>
      <c r="N390" s="25"/>
    </row>
    <row r="391">
      <c r="A391" s="25"/>
      <c r="B391" s="25"/>
      <c r="C391" s="121"/>
      <c r="D391" s="121"/>
      <c r="E391" s="121"/>
      <c r="F391" s="121"/>
      <c r="G391" s="121"/>
      <c r="H391" s="121"/>
      <c r="I391" s="121"/>
      <c r="J391" s="121"/>
      <c r="K391" s="121"/>
      <c r="L391" s="121"/>
      <c r="M391" s="122"/>
      <c r="N391" s="25"/>
    </row>
    <row r="392">
      <c r="A392" s="25"/>
      <c r="B392" s="25"/>
      <c r="C392" s="121"/>
      <c r="D392" s="121"/>
      <c r="E392" s="121"/>
      <c r="F392" s="121"/>
      <c r="G392" s="121"/>
      <c r="H392" s="121"/>
      <c r="I392" s="121"/>
      <c r="J392" s="121"/>
      <c r="K392" s="121"/>
      <c r="L392" s="121"/>
      <c r="M392" s="122"/>
      <c r="N392" s="25"/>
    </row>
    <row r="393">
      <c r="A393" s="25"/>
      <c r="B393" s="25"/>
      <c r="C393" s="121"/>
      <c r="D393" s="121"/>
      <c r="E393" s="121"/>
      <c r="F393" s="121"/>
      <c r="G393" s="121"/>
      <c r="H393" s="121"/>
      <c r="I393" s="121"/>
      <c r="J393" s="121"/>
      <c r="K393" s="121"/>
      <c r="L393" s="121"/>
      <c r="M393" s="122"/>
      <c r="N393" s="25"/>
    </row>
    <row r="394">
      <c r="A394" s="25"/>
      <c r="B394" s="25"/>
      <c r="C394" s="121"/>
      <c r="D394" s="121"/>
      <c r="E394" s="121"/>
      <c r="F394" s="121"/>
      <c r="G394" s="121"/>
      <c r="H394" s="121"/>
      <c r="I394" s="121"/>
      <c r="J394" s="121"/>
      <c r="K394" s="121"/>
      <c r="L394" s="121"/>
      <c r="M394" s="122"/>
      <c r="N394" s="25"/>
    </row>
    <row r="395">
      <c r="A395" s="25"/>
      <c r="B395" s="25"/>
      <c r="C395" s="121"/>
      <c r="D395" s="121"/>
      <c r="E395" s="121"/>
      <c r="F395" s="121"/>
      <c r="G395" s="121"/>
      <c r="H395" s="121"/>
      <c r="I395" s="121"/>
      <c r="J395" s="121"/>
      <c r="K395" s="121"/>
      <c r="L395" s="121"/>
      <c r="M395" s="122"/>
      <c r="N395" s="25"/>
    </row>
    <row r="396">
      <c r="A396" s="25"/>
      <c r="B396" s="25"/>
      <c r="C396" s="121"/>
      <c r="D396" s="121"/>
      <c r="E396" s="121"/>
      <c r="F396" s="121"/>
      <c r="G396" s="121"/>
      <c r="H396" s="121"/>
      <c r="I396" s="121"/>
      <c r="J396" s="121"/>
      <c r="K396" s="121"/>
      <c r="L396" s="121"/>
      <c r="M396" s="122"/>
      <c r="N396" s="25"/>
    </row>
    <row r="397">
      <c r="A397" s="25"/>
      <c r="B397" s="25"/>
      <c r="C397" s="121"/>
      <c r="D397" s="121"/>
      <c r="E397" s="121"/>
      <c r="F397" s="121"/>
      <c r="G397" s="121"/>
      <c r="H397" s="121"/>
      <c r="I397" s="121"/>
      <c r="J397" s="121"/>
      <c r="K397" s="121"/>
      <c r="L397" s="121"/>
      <c r="M397" s="122"/>
      <c r="N397" s="25"/>
    </row>
    <row r="398">
      <c r="A398" s="25"/>
      <c r="B398" s="25"/>
      <c r="C398" s="121"/>
      <c r="D398" s="121"/>
      <c r="E398" s="121"/>
      <c r="F398" s="121"/>
      <c r="G398" s="121"/>
      <c r="H398" s="121"/>
      <c r="I398" s="121"/>
      <c r="J398" s="121"/>
      <c r="K398" s="121"/>
      <c r="L398" s="121"/>
      <c r="M398" s="122"/>
      <c r="N398" s="25"/>
    </row>
    <row r="399">
      <c r="A399" s="25"/>
      <c r="B399" s="25"/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2"/>
      <c r="N399" s="25"/>
    </row>
    <row r="400">
      <c r="A400" s="25"/>
      <c r="B400" s="25"/>
      <c r="C400" s="121"/>
      <c r="D400" s="121"/>
      <c r="E400" s="121"/>
      <c r="F400" s="121"/>
      <c r="G400" s="121"/>
      <c r="H400" s="121"/>
      <c r="I400" s="121"/>
      <c r="J400" s="121"/>
      <c r="K400" s="121"/>
      <c r="L400" s="121"/>
      <c r="M400" s="122"/>
      <c r="N400" s="25"/>
    </row>
    <row r="401">
      <c r="A401" s="25"/>
      <c r="B401" s="25"/>
      <c r="C401" s="121"/>
      <c r="D401" s="121"/>
      <c r="E401" s="121"/>
      <c r="F401" s="121"/>
      <c r="G401" s="121"/>
      <c r="H401" s="121"/>
      <c r="I401" s="121"/>
      <c r="J401" s="121"/>
      <c r="K401" s="121"/>
      <c r="L401" s="121"/>
      <c r="M401" s="122"/>
      <c r="N401" s="25"/>
    </row>
    <row r="402">
      <c r="A402" s="25"/>
      <c r="B402" s="25"/>
      <c r="C402" s="121"/>
      <c r="D402" s="121"/>
      <c r="E402" s="121"/>
      <c r="F402" s="121"/>
      <c r="G402" s="121"/>
      <c r="H402" s="121"/>
      <c r="I402" s="121"/>
      <c r="J402" s="121"/>
      <c r="K402" s="121"/>
      <c r="L402" s="121"/>
      <c r="M402" s="122"/>
      <c r="N402" s="25"/>
    </row>
    <row r="403">
      <c r="A403" s="25"/>
      <c r="B403" s="25"/>
      <c r="C403" s="121"/>
      <c r="D403" s="121"/>
      <c r="E403" s="121"/>
      <c r="F403" s="121"/>
      <c r="G403" s="121"/>
      <c r="H403" s="121"/>
      <c r="I403" s="121"/>
      <c r="J403" s="121"/>
      <c r="K403" s="121"/>
      <c r="L403" s="121"/>
      <c r="M403" s="122"/>
      <c r="N403" s="25"/>
    </row>
    <row r="404">
      <c r="A404" s="25"/>
      <c r="B404" s="25"/>
      <c r="C404" s="121"/>
      <c r="D404" s="121"/>
      <c r="E404" s="121"/>
      <c r="F404" s="121"/>
      <c r="G404" s="121"/>
      <c r="H404" s="121"/>
      <c r="I404" s="121"/>
      <c r="J404" s="121"/>
      <c r="K404" s="121"/>
      <c r="L404" s="121"/>
      <c r="M404" s="122"/>
      <c r="N404" s="25"/>
    </row>
    <row r="405">
      <c r="A405" s="25"/>
      <c r="B405" s="25"/>
      <c r="C405" s="121"/>
      <c r="D405" s="121"/>
      <c r="E405" s="121"/>
      <c r="F405" s="121"/>
      <c r="G405" s="121"/>
      <c r="H405" s="121"/>
      <c r="I405" s="121"/>
      <c r="J405" s="121"/>
      <c r="K405" s="121"/>
      <c r="L405" s="121"/>
      <c r="M405" s="122"/>
      <c r="N405" s="25"/>
    </row>
    <row r="406">
      <c r="A406" s="25"/>
      <c r="B406" s="25"/>
      <c r="C406" s="121"/>
      <c r="D406" s="121"/>
      <c r="E406" s="121"/>
      <c r="F406" s="121"/>
      <c r="G406" s="121"/>
      <c r="H406" s="121"/>
      <c r="I406" s="121"/>
      <c r="J406" s="121"/>
      <c r="K406" s="121"/>
      <c r="L406" s="121"/>
      <c r="M406" s="122"/>
      <c r="N406" s="25"/>
    </row>
    <row r="407">
      <c r="A407" s="25"/>
      <c r="B407" s="25"/>
      <c r="C407" s="121"/>
      <c r="D407" s="121"/>
      <c r="E407" s="121"/>
      <c r="F407" s="121"/>
      <c r="G407" s="121"/>
      <c r="H407" s="121"/>
      <c r="I407" s="121"/>
      <c r="J407" s="121"/>
      <c r="K407" s="121"/>
      <c r="L407" s="121"/>
      <c r="M407" s="122"/>
      <c r="N407" s="25"/>
    </row>
    <row r="408">
      <c r="A408" s="25"/>
      <c r="B408" s="25"/>
      <c r="C408" s="121"/>
      <c r="D408" s="121"/>
      <c r="E408" s="121"/>
      <c r="F408" s="121"/>
      <c r="G408" s="121"/>
      <c r="H408" s="121"/>
      <c r="I408" s="121"/>
      <c r="J408" s="121"/>
      <c r="K408" s="121"/>
      <c r="L408" s="121"/>
      <c r="M408" s="122"/>
      <c r="N408" s="25"/>
    </row>
    <row r="409">
      <c r="A409" s="25"/>
      <c r="B409" s="25"/>
      <c r="C409" s="121"/>
      <c r="D409" s="121"/>
      <c r="E409" s="121"/>
      <c r="F409" s="121"/>
      <c r="G409" s="121"/>
      <c r="H409" s="121"/>
      <c r="I409" s="121"/>
      <c r="J409" s="121"/>
      <c r="K409" s="121"/>
      <c r="L409" s="121"/>
      <c r="M409" s="122"/>
      <c r="N409" s="25"/>
    </row>
    <row r="410">
      <c r="A410" s="25"/>
      <c r="B410" s="25"/>
      <c r="C410" s="121"/>
      <c r="D410" s="121"/>
      <c r="E410" s="121"/>
      <c r="F410" s="121"/>
      <c r="G410" s="121"/>
      <c r="H410" s="121"/>
      <c r="I410" s="121"/>
      <c r="J410" s="121"/>
      <c r="K410" s="121"/>
      <c r="L410" s="121"/>
      <c r="M410" s="122"/>
      <c r="N410" s="25"/>
    </row>
    <row r="411">
      <c r="A411" s="25"/>
      <c r="B411" s="25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2"/>
      <c r="N411" s="25"/>
    </row>
    <row r="412">
      <c r="A412" s="25"/>
      <c r="B412" s="25"/>
      <c r="C412" s="121"/>
      <c r="D412" s="121"/>
      <c r="E412" s="121"/>
      <c r="F412" s="121"/>
      <c r="G412" s="121"/>
      <c r="H412" s="121"/>
      <c r="I412" s="121"/>
      <c r="J412" s="121"/>
      <c r="K412" s="121"/>
      <c r="L412" s="121"/>
      <c r="M412" s="122"/>
      <c r="N412" s="25"/>
    </row>
    <row r="413">
      <c r="A413" s="25"/>
      <c r="B413" s="25"/>
      <c r="C413" s="121"/>
      <c r="D413" s="121"/>
      <c r="E413" s="121"/>
      <c r="F413" s="121"/>
      <c r="G413" s="121"/>
      <c r="H413" s="121"/>
      <c r="I413" s="121"/>
      <c r="J413" s="121"/>
      <c r="K413" s="121"/>
      <c r="L413" s="121"/>
      <c r="M413" s="122"/>
      <c r="N413" s="25"/>
    </row>
    <row r="414">
      <c r="A414" s="25"/>
      <c r="B414" s="25"/>
      <c r="C414" s="121"/>
      <c r="D414" s="121"/>
      <c r="E414" s="121"/>
      <c r="F414" s="121"/>
      <c r="G414" s="121"/>
      <c r="H414" s="121"/>
      <c r="I414" s="121"/>
      <c r="J414" s="121"/>
      <c r="K414" s="121"/>
      <c r="L414" s="121"/>
      <c r="M414" s="122"/>
      <c r="N414" s="25"/>
    </row>
    <row r="415">
      <c r="A415" s="25"/>
      <c r="B415" s="25"/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2"/>
      <c r="N415" s="25"/>
    </row>
    <row r="416">
      <c r="A416" s="25"/>
      <c r="B416" s="25"/>
      <c r="C416" s="121"/>
      <c r="D416" s="121"/>
      <c r="E416" s="121"/>
      <c r="F416" s="121"/>
      <c r="G416" s="121"/>
      <c r="H416" s="121"/>
      <c r="I416" s="121"/>
      <c r="J416" s="121"/>
      <c r="K416" s="121"/>
      <c r="L416" s="121"/>
      <c r="M416" s="122"/>
      <c r="N416" s="25"/>
    </row>
    <row r="417">
      <c r="A417" s="25"/>
      <c r="B417" s="25"/>
      <c r="C417" s="121"/>
      <c r="D417" s="121"/>
      <c r="E417" s="121"/>
      <c r="F417" s="121"/>
      <c r="G417" s="121"/>
      <c r="H417" s="121"/>
      <c r="I417" s="121"/>
      <c r="J417" s="121"/>
      <c r="K417" s="121"/>
      <c r="L417" s="121"/>
      <c r="M417" s="122"/>
      <c r="N417" s="25"/>
    </row>
    <row r="418">
      <c r="A418" s="25"/>
      <c r="B418" s="25"/>
      <c r="C418" s="121"/>
      <c r="D418" s="121"/>
      <c r="E418" s="121"/>
      <c r="F418" s="121"/>
      <c r="G418" s="121"/>
      <c r="H418" s="121"/>
      <c r="I418" s="121"/>
      <c r="J418" s="121"/>
      <c r="K418" s="121"/>
      <c r="L418" s="121"/>
      <c r="M418" s="122"/>
      <c r="N418" s="25"/>
    </row>
    <row r="419">
      <c r="A419" s="25"/>
      <c r="B419" s="25"/>
      <c r="C419" s="121"/>
      <c r="D419" s="121"/>
      <c r="E419" s="121"/>
      <c r="F419" s="121"/>
      <c r="G419" s="121"/>
      <c r="H419" s="121"/>
      <c r="I419" s="121"/>
      <c r="J419" s="121"/>
      <c r="K419" s="121"/>
      <c r="L419" s="121"/>
      <c r="M419" s="122"/>
      <c r="N419" s="25"/>
    </row>
    <row r="420">
      <c r="A420" s="25"/>
      <c r="B420" s="25"/>
      <c r="C420" s="121"/>
      <c r="D420" s="121"/>
      <c r="E420" s="121"/>
      <c r="F420" s="121"/>
      <c r="G420" s="121"/>
      <c r="H420" s="121"/>
      <c r="I420" s="121"/>
      <c r="J420" s="121"/>
      <c r="K420" s="121"/>
      <c r="L420" s="121"/>
      <c r="M420" s="122"/>
      <c r="N420" s="25"/>
    </row>
    <row r="421">
      <c r="A421" s="25"/>
      <c r="B421" s="25"/>
      <c r="C421" s="121"/>
      <c r="D421" s="121"/>
      <c r="E421" s="121"/>
      <c r="F421" s="121"/>
      <c r="G421" s="121"/>
      <c r="H421" s="121"/>
      <c r="I421" s="121"/>
      <c r="J421" s="121"/>
      <c r="K421" s="121"/>
      <c r="L421" s="121"/>
      <c r="M421" s="122"/>
      <c r="N421" s="25"/>
    </row>
    <row r="422">
      <c r="A422" s="25"/>
      <c r="B422" s="25"/>
      <c r="C422" s="121"/>
      <c r="D422" s="121"/>
      <c r="E422" s="121"/>
      <c r="F422" s="121"/>
      <c r="G422" s="121"/>
      <c r="H422" s="121"/>
      <c r="I422" s="121"/>
      <c r="J422" s="121"/>
      <c r="K422" s="121"/>
      <c r="L422" s="121"/>
      <c r="M422" s="122"/>
      <c r="N422" s="25"/>
    </row>
    <row r="423">
      <c r="A423" s="25"/>
      <c r="B423" s="25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2"/>
      <c r="N423" s="25"/>
    </row>
    <row r="424">
      <c r="A424" s="25"/>
      <c r="B424" s="25"/>
      <c r="C424" s="121"/>
      <c r="D424" s="121"/>
      <c r="E424" s="121"/>
      <c r="F424" s="121"/>
      <c r="G424" s="121"/>
      <c r="H424" s="121"/>
      <c r="I424" s="121"/>
      <c r="J424" s="121"/>
      <c r="K424" s="121"/>
      <c r="L424" s="121"/>
      <c r="M424" s="122"/>
      <c r="N424" s="25"/>
    </row>
    <row r="425">
      <c r="A425" s="25"/>
      <c r="B425" s="25"/>
      <c r="C425" s="121"/>
      <c r="D425" s="121"/>
      <c r="E425" s="121"/>
      <c r="F425" s="121"/>
      <c r="G425" s="121"/>
      <c r="H425" s="121"/>
      <c r="I425" s="121"/>
      <c r="J425" s="121"/>
      <c r="K425" s="121"/>
      <c r="L425" s="121"/>
      <c r="M425" s="122"/>
      <c r="N425" s="25"/>
    </row>
    <row r="426">
      <c r="A426" s="25"/>
      <c r="B426" s="25"/>
      <c r="C426" s="121"/>
      <c r="D426" s="121"/>
      <c r="E426" s="121"/>
      <c r="F426" s="121"/>
      <c r="G426" s="121"/>
      <c r="H426" s="121"/>
      <c r="I426" s="121"/>
      <c r="J426" s="121"/>
      <c r="K426" s="121"/>
      <c r="L426" s="121"/>
      <c r="M426" s="122"/>
      <c r="N426" s="25"/>
    </row>
    <row r="427">
      <c r="A427" s="25"/>
      <c r="B427" s="25"/>
      <c r="C427" s="121"/>
      <c r="D427" s="121"/>
      <c r="E427" s="121"/>
      <c r="F427" s="121"/>
      <c r="G427" s="121"/>
      <c r="H427" s="121"/>
      <c r="I427" s="121"/>
      <c r="J427" s="121"/>
      <c r="K427" s="121"/>
      <c r="L427" s="121"/>
      <c r="M427" s="122"/>
      <c r="N427" s="25"/>
    </row>
    <row r="428">
      <c r="A428" s="25"/>
      <c r="B428" s="25"/>
      <c r="C428" s="121"/>
      <c r="D428" s="121"/>
      <c r="E428" s="121"/>
      <c r="F428" s="121"/>
      <c r="G428" s="121"/>
      <c r="H428" s="121"/>
      <c r="I428" s="121"/>
      <c r="J428" s="121"/>
      <c r="K428" s="121"/>
      <c r="L428" s="121"/>
      <c r="M428" s="122"/>
      <c r="N428" s="25"/>
    </row>
    <row r="429">
      <c r="A429" s="25"/>
      <c r="B429" s="25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2"/>
      <c r="N429" s="25"/>
    </row>
    <row r="430">
      <c r="A430" s="25"/>
      <c r="B430" s="25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2"/>
      <c r="N430" s="25"/>
    </row>
    <row r="431">
      <c r="A431" s="25"/>
      <c r="B431" s="25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2"/>
      <c r="N431" s="25"/>
    </row>
    <row r="432">
      <c r="A432" s="25"/>
      <c r="B432" s="25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2"/>
      <c r="N432" s="25"/>
    </row>
    <row r="433">
      <c r="A433" s="25"/>
      <c r="B433" s="25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2"/>
      <c r="N433" s="25"/>
    </row>
    <row r="434">
      <c r="A434" s="25"/>
      <c r="B434" s="25"/>
      <c r="C434" s="121"/>
      <c r="D434" s="121"/>
      <c r="E434" s="121"/>
      <c r="F434" s="121"/>
      <c r="G434" s="121"/>
      <c r="H434" s="121"/>
      <c r="I434" s="121"/>
      <c r="J434" s="121"/>
      <c r="K434" s="121"/>
      <c r="L434" s="121"/>
      <c r="M434" s="122"/>
      <c r="N434" s="25"/>
    </row>
    <row r="435">
      <c r="A435" s="25"/>
      <c r="B435" s="25"/>
      <c r="C435" s="121"/>
      <c r="D435" s="121"/>
      <c r="E435" s="121"/>
      <c r="F435" s="121"/>
      <c r="G435" s="121"/>
      <c r="H435" s="121"/>
      <c r="I435" s="121"/>
      <c r="J435" s="121"/>
      <c r="K435" s="121"/>
      <c r="L435" s="121"/>
      <c r="M435" s="122"/>
      <c r="N435" s="25"/>
    </row>
    <row r="436">
      <c r="A436" s="25"/>
      <c r="B436" s="25"/>
      <c r="C436" s="121"/>
      <c r="D436" s="121"/>
      <c r="E436" s="121"/>
      <c r="F436" s="121"/>
      <c r="G436" s="121"/>
      <c r="H436" s="121"/>
      <c r="I436" s="121"/>
      <c r="J436" s="121"/>
      <c r="K436" s="121"/>
      <c r="L436" s="121"/>
      <c r="M436" s="122"/>
      <c r="N436" s="25"/>
    </row>
    <row r="437">
      <c r="A437" s="25"/>
      <c r="B437" s="25"/>
      <c r="C437" s="121"/>
      <c r="D437" s="121"/>
      <c r="E437" s="121"/>
      <c r="F437" s="121"/>
      <c r="G437" s="121"/>
      <c r="H437" s="121"/>
      <c r="I437" s="121"/>
      <c r="J437" s="121"/>
      <c r="K437" s="121"/>
      <c r="L437" s="121"/>
      <c r="M437" s="122"/>
      <c r="N437" s="25"/>
    </row>
    <row r="438">
      <c r="A438" s="25"/>
      <c r="B438" s="25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2"/>
      <c r="N438" s="25"/>
    </row>
    <row r="439">
      <c r="A439" s="25"/>
      <c r="B439" s="25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2"/>
      <c r="N439" s="25"/>
    </row>
    <row r="440">
      <c r="A440" s="25"/>
      <c r="B440" s="25"/>
      <c r="C440" s="121"/>
      <c r="D440" s="121"/>
      <c r="E440" s="121"/>
      <c r="F440" s="121"/>
      <c r="G440" s="121"/>
      <c r="H440" s="121"/>
      <c r="I440" s="121"/>
      <c r="J440" s="121"/>
      <c r="K440" s="121"/>
      <c r="L440" s="121"/>
      <c r="M440" s="122"/>
      <c r="N440" s="25"/>
    </row>
    <row r="441">
      <c r="A441" s="25"/>
      <c r="B441" s="25"/>
      <c r="C441" s="121"/>
      <c r="D441" s="121"/>
      <c r="E441" s="121"/>
      <c r="F441" s="121"/>
      <c r="G441" s="121"/>
      <c r="H441" s="121"/>
      <c r="I441" s="121"/>
      <c r="J441" s="121"/>
      <c r="K441" s="121"/>
      <c r="L441" s="121"/>
      <c r="M441" s="122"/>
      <c r="N441" s="25"/>
    </row>
    <row r="442">
      <c r="A442" s="25"/>
      <c r="B442" s="25"/>
      <c r="C442" s="121"/>
      <c r="D442" s="121"/>
      <c r="E442" s="121"/>
      <c r="F442" s="121"/>
      <c r="G442" s="121"/>
      <c r="H442" s="121"/>
      <c r="I442" s="121"/>
      <c r="J442" s="121"/>
      <c r="K442" s="121"/>
      <c r="L442" s="121"/>
      <c r="M442" s="122"/>
      <c r="N442" s="25"/>
    </row>
    <row r="443">
      <c r="A443" s="25"/>
      <c r="B443" s="25"/>
      <c r="C443" s="121"/>
      <c r="D443" s="121"/>
      <c r="E443" s="121"/>
      <c r="F443" s="121"/>
      <c r="G443" s="121"/>
      <c r="H443" s="121"/>
      <c r="I443" s="121"/>
      <c r="J443" s="121"/>
      <c r="K443" s="121"/>
      <c r="L443" s="121"/>
      <c r="M443" s="122"/>
      <c r="N443" s="25"/>
    </row>
    <row r="444">
      <c r="A444" s="25"/>
      <c r="B444" s="25"/>
      <c r="C444" s="121"/>
      <c r="D444" s="121"/>
      <c r="E444" s="121"/>
      <c r="F444" s="121"/>
      <c r="G444" s="121"/>
      <c r="H444" s="121"/>
      <c r="I444" s="121"/>
      <c r="J444" s="121"/>
      <c r="K444" s="121"/>
      <c r="L444" s="121"/>
      <c r="M444" s="122"/>
      <c r="N444" s="25"/>
    </row>
    <row r="445">
      <c r="A445" s="25"/>
      <c r="B445" s="25"/>
      <c r="C445" s="121"/>
      <c r="D445" s="121"/>
      <c r="E445" s="121"/>
      <c r="F445" s="121"/>
      <c r="G445" s="121"/>
      <c r="H445" s="121"/>
      <c r="I445" s="121"/>
      <c r="J445" s="121"/>
      <c r="K445" s="121"/>
      <c r="L445" s="121"/>
      <c r="M445" s="122"/>
      <c r="N445" s="25"/>
    </row>
    <row r="446">
      <c r="A446" s="25"/>
      <c r="B446" s="25"/>
      <c r="C446" s="121"/>
      <c r="D446" s="121"/>
      <c r="E446" s="121"/>
      <c r="F446" s="121"/>
      <c r="G446" s="121"/>
      <c r="H446" s="121"/>
      <c r="I446" s="121"/>
      <c r="J446" s="121"/>
      <c r="K446" s="121"/>
      <c r="L446" s="121"/>
      <c r="M446" s="122"/>
      <c r="N446" s="25"/>
    </row>
    <row r="447">
      <c r="A447" s="25"/>
      <c r="B447" s="25"/>
      <c r="C447" s="121"/>
      <c r="D447" s="121"/>
      <c r="E447" s="121"/>
      <c r="F447" s="121"/>
      <c r="G447" s="121"/>
      <c r="H447" s="121"/>
      <c r="I447" s="121"/>
      <c r="J447" s="121"/>
      <c r="K447" s="121"/>
      <c r="L447" s="121"/>
      <c r="M447" s="122"/>
      <c r="N447" s="25"/>
    </row>
    <row r="448">
      <c r="A448" s="25"/>
      <c r="B448" s="25"/>
      <c r="C448" s="121"/>
      <c r="D448" s="121"/>
      <c r="E448" s="121"/>
      <c r="F448" s="121"/>
      <c r="G448" s="121"/>
      <c r="H448" s="121"/>
      <c r="I448" s="121"/>
      <c r="J448" s="121"/>
      <c r="K448" s="121"/>
      <c r="L448" s="121"/>
      <c r="M448" s="122"/>
      <c r="N448" s="25"/>
    </row>
    <row r="449">
      <c r="A449" s="25"/>
      <c r="B449" s="25"/>
      <c r="C449" s="121"/>
      <c r="D449" s="121"/>
      <c r="E449" s="121"/>
      <c r="F449" s="121"/>
      <c r="G449" s="121"/>
      <c r="H449" s="121"/>
      <c r="I449" s="121"/>
      <c r="J449" s="121"/>
      <c r="K449" s="121"/>
      <c r="L449" s="121"/>
      <c r="M449" s="122"/>
      <c r="N449" s="25"/>
    </row>
    <row r="450">
      <c r="A450" s="25"/>
      <c r="B450" s="25"/>
      <c r="C450" s="121"/>
      <c r="D450" s="121"/>
      <c r="E450" s="121"/>
      <c r="F450" s="121"/>
      <c r="G450" s="121"/>
      <c r="H450" s="121"/>
      <c r="I450" s="121"/>
      <c r="J450" s="121"/>
      <c r="K450" s="121"/>
      <c r="L450" s="121"/>
      <c r="M450" s="122"/>
      <c r="N450" s="25"/>
    </row>
    <row r="451">
      <c r="A451" s="25"/>
      <c r="B451" s="25"/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2"/>
      <c r="N451" s="25"/>
    </row>
    <row r="452">
      <c r="A452" s="25"/>
      <c r="B452" s="25"/>
      <c r="C452" s="121"/>
      <c r="D452" s="121"/>
      <c r="E452" s="121"/>
      <c r="F452" s="121"/>
      <c r="G452" s="121"/>
      <c r="H452" s="121"/>
      <c r="I452" s="121"/>
      <c r="J452" s="121"/>
      <c r="K452" s="121"/>
      <c r="L452" s="121"/>
      <c r="M452" s="122"/>
      <c r="N452" s="25"/>
    </row>
    <row r="453">
      <c r="A453" s="25"/>
      <c r="B453" s="25"/>
      <c r="C453" s="121"/>
      <c r="D453" s="121"/>
      <c r="E453" s="121"/>
      <c r="F453" s="121"/>
      <c r="G453" s="121"/>
      <c r="H453" s="121"/>
      <c r="I453" s="121"/>
      <c r="J453" s="121"/>
      <c r="K453" s="121"/>
      <c r="L453" s="121"/>
      <c r="M453" s="122"/>
      <c r="N453" s="25"/>
    </row>
    <row r="454">
      <c r="A454" s="25"/>
      <c r="B454" s="25"/>
      <c r="C454" s="121"/>
      <c r="D454" s="121"/>
      <c r="E454" s="121"/>
      <c r="F454" s="121"/>
      <c r="G454" s="121"/>
      <c r="H454" s="121"/>
      <c r="I454" s="121"/>
      <c r="J454" s="121"/>
      <c r="K454" s="121"/>
      <c r="L454" s="121"/>
      <c r="M454" s="122"/>
      <c r="N454" s="25"/>
    </row>
    <row r="455">
      <c r="A455" s="25"/>
      <c r="B455" s="25"/>
      <c r="C455" s="121"/>
      <c r="D455" s="121"/>
      <c r="E455" s="121"/>
      <c r="F455" s="121"/>
      <c r="G455" s="121"/>
      <c r="H455" s="121"/>
      <c r="I455" s="121"/>
      <c r="J455" s="121"/>
      <c r="K455" s="121"/>
      <c r="L455" s="121"/>
      <c r="M455" s="122"/>
      <c r="N455" s="25"/>
    </row>
    <row r="456">
      <c r="A456" s="25"/>
      <c r="B456" s="25"/>
      <c r="C456" s="121"/>
      <c r="D456" s="121"/>
      <c r="E456" s="121"/>
      <c r="F456" s="121"/>
      <c r="G456" s="121"/>
      <c r="H456" s="121"/>
      <c r="I456" s="121"/>
      <c r="J456" s="121"/>
      <c r="K456" s="121"/>
      <c r="L456" s="121"/>
      <c r="M456" s="122"/>
      <c r="N456" s="25"/>
    </row>
    <row r="457">
      <c r="A457" s="25"/>
      <c r="B457" s="25"/>
      <c r="C457" s="121"/>
      <c r="D457" s="121"/>
      <c r="E457" s="121"/>
      <c r="F457" s="121"/>
      <c r="G457" s="121"/>
      <c r="H457" s="121"/>
      <c r="I457" s="121"/>
      <c r="J457" s="121"/>
      <c r="K457" s="121"/>
      <c r="L457" s="121"/>
      <c r="M457" s="122"/>
      <c r="N457" s="25"/>
    </row>
    <row r="458">
      <c r="A458" s="25"/>
      <c r="B458" s="25"/>
      <c r="C458" s="121"/>
      <c r="D458" s="121"/>
      <c r="E458" s="121"/>
      <c r="F458" s="121"/>
      <c r="G458" s="121"/>
      <c r="H458" s="121"/>
      <c r="I458" s="121"/>
      <c r="J458" s="121"/>
      <c r="K458" s="121"/>
      <c r="L458" s="121"/>
      <c r="M458" s="122"/>
      <c r="N458" s="25"/>
    </row>
    <row r="459">
      <c r="A459" s="25"/>
      <c r="B459" s="25"/>
      <c r="C459" s="121"/>
      <c r="D459" s="121"/>
      <c r="E459" s="121"/>
      <c r="F459" s="121"/>
      <c r="G459" s="121"/>
      <c r="H459" s="121"/>
      <c r="I459" s="121"/>
      <c r="J459" s="121"/>
      <c r="K459" s="121"/>
      <c r="L459" s="121"/>
      <c r="M459" s="122"/>
      <c r="N459" s="25"/>
    </row>
    <row r="460">
      <c r="A460" s="25"/>
      <c r="B460" s="25"/>
      <c r="C460" s="121"/>
      <c r="D460" s="121"/>
      <c r="E460" s="121"/>
      <c r="F460" s="121"/>
      <c r="G460" s="121"/>
      <c r="H460" s="121"/>
      <c r="I460" s="121"/>
      <c r="J460" s="121"/>
      <c r="K460" s="121"/>
      <c r="L460" s="121"/>
      <c r="M460" s="122"/>
      <c r="N460" s="25"/>
    </row>
    <row r="461">
      <c r="A461" s="25"/>
      <c r="B461" s="25"/>
      <c r="C461" s="121"/>
      <c r="D461" s="121"/>
      <c r="E461" s="121"/>
      <c r="F461" s="121"/>
      <c r="G461" s="121"/>
      <c r="H461" s="121"/>
      <c r="I461" s="121"/>
      <c r="J461" s="121"/>
      <c r="K461" s="121"/>
      <c r="L461" s="121"/>
      <c r="M461" s="122"/>
      <c r="N461" s="25"/>
    </row>
    <row r="462">
      <c r="A462" s="25"/>
      <c r="B462" s="25"/>
      <c r="C462" s="121"/>
      <c r="D462" s="121"/>
      <c r="E462" s="121"/>
      <c r="F462" s="121"/>
      <c r="G462" s="121"/>
      <c r="H462" s="121"/>
      <c r="I462" s="121"/>
      <c r="J462" s="121"/>
      <c r="K462" s="121"/>
      <c r="L462" s="121"/>
      <c r="M462" s="122"/>
      <c r="N462" s="25"/>
    </row>
    <row r="463">
      <c r="A463" s="25"/>
      <c r="B463" s="25"/>
      <c r="C463" s="121"/>
      <c r="D463" s="121"/>
      <c r="E463" s="121"/>
      <c r="F463" s="121"/>
      <c r="G463" s="121"/>
      <c r="H463" s="121"/>
      <c r="I463" s="121"/>
      <c r="J463" s="121"/>
      <c r="K463" s="121"/>
      <c r="L463" s="121"/>
      <c r="M463" s="122"/>
      <c r="N463" s="25"/>
    </row>
    <row r="464">
      <c r="A464" s="25"/>
      <c r="B464" s="25"/>
      <c r="C464" s="121"/>
      <c r="D464" s="121"/>
      <c r="E464" s="121"/>
      <c r="F464" s="121"/>
      <c r="G464" s="121"/>
      <c r="H464" s="121"/>
      <c r="I464" s="121"/>
      <c r="J464" s="121"/>
      <c r="K464" s="121"/>
      <c r="L464" s="121"/>
      <c r="M464" s="122"/>
      <c r="N464" s="25"/>
    </row>
    <row r="465">
      <c r="A465" s="25"/>
      <c r="B465" s="25"/>
      <c r="C465" s="121"/>
      <c r="D465" s="121"/>
      <c r="E465" s="121"/>
      <c r="F465" s="121"/>
      <c r="G465" s="121"/>
      <c r="H465" s="121"/>
      <c r="I465" s="121"/>
      <c r="J465" s="121"/>
      <c r="K465" s="121"/>
      <c r="L465" s="121"/>
      <c r="M465" s="122"/>
      <c r="N465" s="25"/>
    </row>
    <row r="466">
      <c r="A466" s="25"/>
      <c r="B466" s="25"/>
      <c r="C466" s="121"/>
      <c r="D466" s="121"/>
      <c r="E466" s="121"/>
      <c r="F466" s="121"/>
      <c r="G466" s="121"/>
      <c r="H466" s="121"/>
      <c r="I466" s="121"/>
      <c r="J466" s="121"/>
      <c r="K466" s="121"/>
      <c r="L466" s="121"/>
      <c r="M466" s="122"/>
      <c r="N466" s="25"/>
    </row>
    <row r="467">
      <c r="A467" s="25"/>
      <c r="B467" s="25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2"/>
      <c r="N467" s="25"/>
    </row>
    <row r="468">
      <c r="A468" s="25"/>
      <c r="B468" s="25"/>
      <c r="C468" s="121"/>
      <c r="D468" s="121"/>
      <c r="E468" s="121"/>
      <c r="F468" s="121"/>
      <c r="G468" s="121"/>
      <c r="H468" s="121"/>
      <c r="I468" s="121"/>
      <c r="J468" s="121"/>
      <c r="K468" s="121"/>
      <c r="L468" s="121"/>
      <c r="M468" s="122"/>
      <c r="N468" s="25"/>
    </row>
    <row r="469">
      <c r="A469" s="25"/>
      <c r="B469" s="25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2"/>
      <c r="N469" s="25"/>
    </row>
    <row r="470">
      <c r="A470" s="25"/>
      <c r="B470" s="25"/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2"/>
      <c r="N470" s="25"/>
    </row>
    <row r="471">
      <c r="A471" s="25"/>
      <c r="B471" s="25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2"/>
      <c r="N471" s="25"/>
    </row>
    <row r="472">
      <c r="A472" s="25"/>
      <c r="B472" s="25"/>
      <c r="C472" s="121"/>
      <c r="D472" s="121"/>
      <c r="E472" s="121"/>
      <c r="F472" s="121"/>
      <c r="G472" s="121"/>
      <c r="H472" s="121"/>
      <c r="I472" s="121"/>
      <c r="J472" s="121"/>
      <c r="K472" s="121"/>
      <c r="L472" s="121"/>
      <c r="M472" s="122"/>
      <c r="N472" s="25"/>
    </row>
    <row r="473">
      <c r="A473" s="25"/>
      <c r="B473" s="25"/>
      <c r="C473" s="121"/>
      <c r="D473" s="121"/>
      <c r="E473" s="121"/>
      <c r="F473" s="121"/>
      <c r="G473" s="121"/>
      <c r="H473" s="121"/>
      <c r="I473" s="121"/>
      <c r="J473" s="121"/>
      <c r="K473" s="121"/>
      <c r="L473" s="121"/>
      <c r="M473" s="122"/>
      <c r="N473" s="25"/>
    </row>
    <row r="474">
      <c r="A474" s="25"/>
      <c r="B474" s="25"/>
      <c r="C474" s="121"/>
      <c r="D474" s="121"/>
      <c r="E474" s="121"/>
      <c r="F474" s="121"/>
      <c r="G474" s="121"/>
      <c r="H474" s="121"/>
      <c r="I474" s="121"/>
      <c r="J474" s="121"/>
      <c r="K474" s="121"/>
      <c r="L474" s="121"/>
      <c r="M474" s="122"/>
      <c r="N474" s="25"/>
    </row>
    <row r="475">
      <c r="A475" s="25"/>
      <c r="B475" s="25"/>
      <c r="C475" s="121"/>
      <c r="D475" s="121"/>
      <c r="E475" s="121"/>
      <c r="F475" s="121"/>
      <c r="G475" s="121"/>
      <c r="H475" s="121"/>
      <c r="I475" s="121"/>
      <c r="J475" s="121"/>
      <c r="K475" s="121"/>
      <c r="L475" s="121"/>
      <c r="M475" s="122"/>
      <c r="N475" s="25"/>
    </row>
    <row r="476">
      <c r="A476" s="25"/>
      <c r="B476" s="25"/>
      <c r="C476" s="121"/>
      <c r="D476" s="121"/>
      <c r="E476" s="121"/>
      <c r="F476" s="121"/>
      <c r="G476" s="121"/>
      <c r="H476" s="121"/>
      <c r="I476" s="121"/>
      <c r="J476" s="121"/>
      <c r="K476" s="121"/>
      <c r="L476" s="121"/>
      <c r="M476" s="122"/>
      <c r="N476" s="25"/>
    </row>
    <row r="477">
      <c r="A477" s="25"/>
      <c r="B477" s="25"/>
      <c r="C477" s="121"/>
      <c r="D477" s="121"/>
      <c r="E477" s="121"/>
      <c r="F477" s="121"/>
      <c r="G477" s="121"/>
      <c r="H477" s="121"/>
      <c r="I477" s="121"/>
      <c r="J477" s="121"/>
      <c r="K477" s="121"/>
      <c r="L477" s="121"/>
      <c r="M477" s="122"/>
      <c r="N477" s="25"/>
    </row>
    <row r="478">
      <c r="A478" s="25"/>
      <c r="B478" s="25"/>
      <c r="C478" s="121"/>
      <c r="D478" s="121"/>
      <c r="E478" s="121"/>
      <c r="F478" s="121"/>
      <c r="G478" s="121"/>
      <c r="H478" s="121"/>
      <c r="I478" s="121"/>
      <c r="J478" s="121"/>
      <c r="K478" s="121"/>
      <c r="L478" s="121"/>
      <c r="M478" s="122"/>
      <c r="N478" s="25"/>
    </row>
    <row r="479">
      <c r="A479" s="25"/>
      <c r="B479" s="25"/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2"/>
      <c r="N479" s="25"/>
    </row>
    <row r="480">
      <c r="A480" s="25"/>
      <c r="B480" s="25"/>
      <c r="C480" s="121"/>
      <c r="D480" s="121"/>
      <c r="E480" s="121"/>
      <c r="F480" s="121"/>
      <c r="G480" s="121"/>
      <c r="H480" s="121"/>
      <c r="I480" s="121"/>
      <c r="J480" s="121"/>
      <c r="K480" s="121"/>
      <c r="L480" s="121"/>
      <c r="M480" s="122"/>
      <c r="N480" s="25"/>
    </row>
    <row r="481">
      <c r="A481" s="25"/>
      <c r="B481" s="25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2"/>
      <c r="N481" s="25"/>
    </row>
    <row r="482">
      <c r="A482" s="25"/>
      <c r="B482" s="25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2"/>
      <c r="N482" s="25"/>
    </row>
    <row r="483">
      <c r="A483" s="25"/>
      <c r="B483" s="25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2"/>
      <c r="N483" s="25"/>
    </row>
    <row r="484">
      <c r="A484" s="25"/>
      <c r="B484" s="25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2"/>
      <c r="N484" s="25"/>
    </row>
    <row r="485">
      <c r="A485" s="25"/>
      <c r="B485" s="25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2"/>
      <c r="N485" s="25"/>
    </row>
    <row r="486">
      <c r="A486" s="25"/>
      <c r="B486" s="25"/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2"/>
      <c r="N486" s="25"/>
    </row>
    <row r="487">
      <c r="A487" s="25"/>
      <c r="B487" s="25"/>
      <c r="C487" s="121"/>
      <c r="D487" s="121"/>
      <c r="E487" s="121"/>
      <c r="F487" s="121"/>
      <c r="G487" s="121"/>
      <c r="H487" s="121"/>
      <c r="I487" s="121"/>
      <c r="J487" s="121"/>
      <c r="K487" s="121"/>
      <c r="L487" s="121"/>
      <c r="M487" s="122"/>
      <c r="N487" s="25"/>
    </row>
    <row r="488">
      <c r="A488" s="25"/>
      <c r="B488" s="25"/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2"/>
      <c r="N488" s="25"/>
    </row>
    <row r="489">
      <c r="A489" s="25"/>
      <c r="B489" s="25"/>
      <c r="C489" s="121"/>
      <c r="D489" s="121"/>
      <c r="E489" s="121"/>
      <c r="F489" s="121"/>
      <c r="G489" s="121"/>
      <c r="H489" s="121"/>
      <c r="I489" s="121"/>
      <c r="J489" s="121"/>
      <c r="K489" s="121"/>
      <c r="L489" s="121"/>
      <c r="M489" s="122"/>
      <c r="N489" s="25"/>
    </row>
    <row r="490">
      <c r="A490" s="25"/>
      <c r="B490" s="25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2"/>
      <c r="N490" s="25"/>
    </row>
    <row r="491">
      <c r="A491" s="25"/>
      <c r="B491" s="25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2"/>
      <c r="N491" s="25"/>
    </row>
    <row r="492">
      <c r="A492" s="25"/>
      <c r="B492" s="25"/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2"/>
      <c r="N492" s="25"/>
    </row>
    <row r="493">
      <c r="A493" s="25"/>
      <c r="B493" s="25"/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2"/>
      <c r="N493" s="25"/>
    </row>
    <row r="494">
      <c r="A494" s="25"/>
      <c r="B494" s="25"/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2"/>
      <c r="N494" s="25"/>
    </row>
    <row r="495">
      <c r="A495" s="25"/>
      <c r="B495" s="25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2"/>
      <c r="N495" s="25"/>
    </row>
    <row r="496">
      <c r="A496" s="25"/>
      <c r="B496" s="25"/>
      <c r="C496" s="121"/>
      <c r="D496" s="121"/>
      <c r="E496" s="121"/>
      <c r="F496" s="121"/>
      <c r="G496" s="121"/>
      <c r="H496" s="121"/>
      <c r="I496" s="121"/>
      <c r="J496" s="121"/>
      <c r="K496" s="121"/>
      <c r="L496" s="121"/>
      <c r="M496" s="122"/>
      <c r="N496" s="25"/>
    </row>
    <row r="497">
      <c r="A497" s="25"/>
      <c r="B497" s="25"/>
      <c r="C497" s="121"/>
      <c r="D497" s="121"/>
      <c r="E497" s="121"/>
      <c r="F497" s="121"/>
      <c r="G497" s="121"/>
      <c r="H497" s="121"/>
      <c r="I497" s="121"/>
      <c r="J497" s="121"/>
      <c r="K497" s="121"/>
      <c r="L497" s="121"/>
      <c r="M497" s="122"/>
      <c r="N497" s="25"/>
    </row>
    <row r="498">
      <c r="A498" s="25"/>
      <c r="B498" s="25"/>
      <c r="C498" s="121"/>
      <c r="D498" s="121"/>
      <c r="E498" s="121"/>
      <c r="F498" s="121"/>
      <c r="G498" s="121"/>
      <c r="H498" s="121"/>
      <c r="I498" s="121"/>
      <c r="J498" s="121"/>
      <c r="K498" s="121"/>
      <c r="L498" s="121"/>
      <c r="M498" s="122"/>
      <c r="N498" s="25"/>
    </row>
    <row r="499">
      <c r="A499" s="25"/>
      <c r="B499" s="25"/>
      <c r="C499" s="121"/>
      <c r="D499" s="121"/>
      <c r="E499" s="121"/>
      <c r="F499" s="121"/>
      <c r="G499" s="121"/>
      <c r="H499" s="121"/>
      <c r="I499" s="121"/>
      <c r="J499" s="121"/>
      <c r="K499" s="121"/>
      <c r="L499" s="121"/>
      <c r="M499" s="122"/>
      <c r="N499" s="25"/>
    </row>
    <row r="500">
      <c r="A500" s="25"/>
      <c r="B500" s="25"/>
      <c r="C500" s="121"/>
      <c r="D500" s="121"/>
      <c r="E500" s="121"/>
      <c r="F500" s="121"/>
      <c r="G500" s="121"/>
      <c r="H500" s="121"/>
      <c r="I500" s="121"/>
      <c r="J500" s="121"/>
      <c r="K500" s="121"/>
      <c r="L500" s="121"/>
      <c r="M500" s="122"/>
      <c r="N500" s="25"/>
    </row>
    <row r="501">
      <c r="A501" s="25"/>
      <c r="B501" s="25"/>
      <c r="C501" s="121"/>
      <c r="D501" s="121"/>
      <c r="E501" s="121"/>
      <c r="F501" s="121"/>
      <c r="G501" s="121"/>
      <c r="H501" s="121"/>
      <c r="I501" s="121"/>
      <c r="J501" s="121"/>
      <c r="K501" s="121"/>
      <c r="L501" s="121"/>
      <c r="M501" s="122"/>
      <c r="N501" s="25"/>
    </row>
    <row r="502">
      <c r="A502" s="25"/>
      <c r="B502" s="25"/>
      <c r="C502" s="121"/>
      <c r="D502" s="121"/>
      <c r="E502" s="121"/>
      <c r="F502" s="121"/>
      <c r="G502" s="121"/>
      <c r="H502" s="121"/>
      <c r="I502" s="121"/>
      <c r="J502" s="121"/>
      <c r="K502" s="121"/>
      <c r="L502" s="121"/>
      <c r="M502" s="122"/>
      <c r="N502" s="25"/>
    </row>
    <row r="503">
      <c r="A503" s="25"/>
      <c r="B503" s="25"/>
      <c r="C503" s="121"/>
      <c r="D503" s="121"/>
      <c r="E503" s="121"/>
      <c r="F503" s="121"/>
      <c r="G503" s="121"/>
      <c r="H503" s="121"/>
      <c r="I503" s="121"/>
      <c r="J503" s="121"/>
      <c r="K503" s="121"/>
      <c r="L503" s="121"/>
      <c r="M503" s="122"/>
      <c r="N503" s="25"/>
    </row>
    <row r="504">
      <c r="A504" s="25"/>
      <c r="B504" s="25"/>
      <c r="C504" s="121"/>
      <c r="D504" s="121"/>
      <c r="E504" s="121"/>
      <c r="F504" s="121"/>
      <c r="G504" s="121"/>
      <c r="H504" s="121"/>
      <c r="I504" s="121"/>
      <c r="J504" s="121"/>
      <c r="K504" s="121"/>
      <c r="L504" s="121"/>
      <c r="M504" s="122"/>
      <c r="N504" s="25"/>
    </row>
    <row r="505">
      <c r="A505" s="25"/>
      <c r="B505" s="25"/>
      <c r="C505" s="121"/>
      <c r="D505" s="121"/>
      <c r="E505" s="121"/>
      <c r="F505" s="121"/>
      <c r="G505" s="121"/>
      <c r="H505" s="121"/>
      <c r="I505" s="121"/>
      <c r="J505" s="121"/>
      <c r="K505" s="121"/>
      <c r="L505" s="121"/>
      <c r="M505" s="122"/>
      <c r="N505" s="25"/>
    </row>
    <row r="506">
      <c r="A506" s="25"/>
      <c r="B506" s="25"/>
      <c r="C506" s="121"/>
      <c r="D506" s="121"/>
      <c r="E506" s="121"/>
      <c r="F506" s="121"/>
      <c r="G506" s="121"/>
      <c r="H506" s="121"/>
      <c r="I506" s="121"/>
      <c r="J506" s="121"/>
      <c r="K506" s="121"/>
      <c r="L506" s="121"/>
      <c r="M506" s="122"/>
      <c r="N506" s="25"/>
    </row>
    <row r="507">
      <c r="A507" s="25"/>
      <c r="B507" s="25"/>
      <c r="C507" s="121"/>
      <c r="D507" s="121"/>
      <c r="E507" s="121"/>
      <c r="F507" s="121"/>
      <c r="G507" s="121"/>
      <c r="H507" s="121"/>
      <c r="I507" s="121"/>
      <c r="J507" s="121"/>
      <c r="K507" s="121"/>
      <c r="L507" s="121"/>
      <c r="M507" s="122"/>
      <c r="N507" s="25"/>
    </row>
    <row r="508">
      <c r="A508" s="25"/>
      <c r="B508" s="25"/>
      <c r="C508" s="121"/>
      <c r="D508" s="121"/>
      <c r="E508" s="121"/>
      <c r="F508" s="121"/>
      <c r="G508" s="121"/>
      <c r="H508" s="121"/>
      <c r="I508" s="121"/>
      <c r="J508" s="121"/>
      <c r="K508" s="121"/>
      <c r="L508" s="121"/>
      <c r="M508" s="122"/>
      <c r="N508" s="25"/>
    </row>
    <row r="509">
      <c r="A509" s="25"/>
      <c r="B509" s="25"/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2"/>
      <c r="N509" s="25"/>
    </row>
    <row r="510">
      <c r="A510" s="25"/>
      <c r="B510" s="25"/>
      <c r="C510" s="121"/>
      <c r="D510" s="121"/>
      <c r="E510" s="121"/>
      <c r="F510" s="121"/>
      <c r="G510" s="121"/>
      <c r="H510" s="121"/>
      <c r="I510" s="121"/>
      <c r="J510" s="121"/>
      <c r="K510" s="121"/>
      <c r="L510" s="121"/>
      <c r="M510" s="122"/>
      <c r="N510" s="25"/>
    </row>
    <row r="511">
      <c r="A511" s="25"/>
      <c r="B511" s="25"/>
      <c r="C511" s="121"/>
      <c r="D511" s="121"/>
      <c r="E511" s="121"/>
      <c r="F511" s="121"/>
      <c r="G511" s="121"/>
      <c r="H511" s="121"/>
      <c r="I511" s="121"/>
      <c r="J511" s="121"/>
      <c r="K511" s="121"/>
      <c r="L511" s="121"/>
      <c r="M511" s="122"/>
      <c r="N511" s="25"/>
    </row>
    <row r="512">
      <c r="A512" s="25"/>
      <c r="B512" s="25"/>
      <c r="C512" s="121"/>
      <c r="D512" s="121"/>
      <c r="E512" s="121"/>
      <c r="F512" s="121"/>
      <c r="G512" s="121"/>
      <c r="H512" s="121"/>
      <c r="I512" s="121"/>
      <c r="J512" s="121"/>
      <c r="K512" s="121"/>
      <c r="L512" s="121"/>
      <c r="M512" s="122"/>
      <c r="N512" s="25"/>
    </row>
    <row r="513">
      <c r="A513" s="25"/>
      <c r="B513" s="25"/>
      <c r="C513" s="121"/>
      <c r="D513" s="121"/>
      <c r="E513" s="121"/>
      <c r="F513" s="121"/>
      <c r="G513" s="121"/>
      <c r="H513" s="121"/>
      <c r="I513" s="121"/>
      <c r="J513" s="121"/>
      <c r="K513" s="121"/>
      <c r="L513" s="121"/>
      <c r="M513" s="122"/>
      <c r="N513" s="25"/>
    </row>
    <row r="514">
      <c r="A514" s="25"/>
      <c r="B514" s="25"/>
      <c r="C514" s="121"/>
      <c r="D514" s="121"/>
      <c r="E514" s="121"/>
      <c r="F514" s="121"/>
      <c r="G514" s="121"/>
      <c r="H514" s="121"/>
      <c r="I514" s="121"/>
      <c r="J514" s="121"/>
      <c r="K514" s="121"/>
      <c r="L514" s="121"/>
      <c r="M514" s="122"/>
      <c r="N514" s="25"/>
    </row>
    <row r="515">
      <c r="A515" s="25"/>
      <c r="B515" s="25"/>
      <c r="C515" s="121"/>
      <c r="D515" s="121"/>
      <c r="E515" s="121"/>
      <c r="F515" s="121"/>
      <c r="G515" s="121"/>
      <c r="H515" s="121"/>
      <c r="I515" s="121"/>
      <c r="J515" s="121"/>
      <c r="K515" s="121"/>
      <c r="L515" s="121"/>
      <c r="M515" s="122"/>
      <c r="N515" s="25"/>
    </row>
    <row r="516">
      <c r="A516" s="25"/>
      <c r="B516" s="25"/>
      <c r="C516" s="121"/>
      <c r="D516" s="121"/>
      <c r="E516" s="121"/>
      <c r="F516" s="121"/>
      <c r="G516" s="121"/>
      <c r="H516" s="121"/>
      <c r="I516" s="121"/>
      <c r="J516" s="121"/>
      <c r="K516" s="121"/>
      <c r="L516" s="121"/>
      <c r="M516" s="122"/>
      <c r="N516" s="25"/>
    </row>
    <row r="517">
      <c r="A517" s="25"/>
      <c r="B517" s="25"/>
      <c r="C517" s="121"/>
      <c r="D517" s="121"/>
      <c r="E517" s="121"/>
      <c r="F517" s="121"/>
      <c r="G517" s="121"/>
      <c r="H517" s="121"/>
      <c r="I517" s="121"/>
      <c r="J517" s="121"/>
      <c r="K517" s="121"/>
      <c r="L517" s="121"/>
      <c r="M517" s="122"/>
      <c r="N517" s="25"/>
    </row>
    <row r="518">
      <c r="A518" s="25"/>
      <c r="B518" s="25"/>
      <c r="C518" s="121"/>
      <c r="D518" s="121"/>
      <c r="E518" s="121"/>
      <c r="F518" s="121"/>
      <c r="G518" s="121"/>
      <c r="H518" s="121"/>
      <c r="I518" s="121"/>
      <c r="J518" s="121"/>
      <c r="K518" s="121"/>
      <c r="L518" s="121"/>
      <c r="M518" s="122"/>
      <c r="N518" s="25"/>
    </row>
    <row r="519">
      <c r="A519" s="25"/>
      <c r="B519" s="25"/>
      <c r="C519" s="121"/>
      <c r="D519" s="121"/>
      <c r="E519" s="121"/>
      <c r="F519" s="121"/>
      <c r="G519" s="121"/>
      <c r="H519" s="121"/>
      <c r="I519" s="121"/>
      <c r="J519" s="121"/>
      <c r="K519" s="121"/>
      <c r="L519" s="121"/>
      <c r="M519" s="122"/>
      <c r="N519" s="25"/>
    </row>
    <row r="520">
      <c r="A520" s="25"/>
      <c r="B520" s="25"/>
      <c r="C520" s="121"/>
      <c r="D520" s="121"/>
      <c r="E520" s="121"/>
      <c r="F520" s="121"/>
      <c r="G520" s="121"/>
      <c r="H520" s="121"/>
      <c r="I520" s="121"/>
      <c r="J520" s="121"/>
      <c r="K520" s="121"/>
      <c r="L520" s="121"/>
      <c r="M520" s="122"/>
      <c r="N520" s="25"/>
    </row>
    <row r="521">
      <c r="A521" s="25"/>
      <c r="B521" s="25"/>
      <c r="C521" s="121"/>
      <c r="D521" s="121"/>
      <c r="E521" s="121"/>
      <c r="F521" s="121"/>
      <c r="G521" s="121"/>
      <c r="H521" s="121"/>
      <c r="I521" s="121"/>
      <c r="J521" s="121"/>
      <c r="K521" s="121"/>
      <c r="L521" s="121"/>
      <c r="M521" s="122"/>
      <c r="N521" s="25"/>
    </row>
    <row r="522">
      <c r="A522" s="25"/>
      <c r="B522" s="25"/>
      <c r="C522" s="121"/>
      <c r="D522" s="121"/>
      <c r="E522" s="121"/>
      <c r="F522" s="121"/>
      <c r="G522" s="121"/>
      <c r="H522" s="121"/>
      <c r="I522" s="121"/>
      <c r="J522" s="121"/>
      <c r="K522" s="121"/>
      <c r="L522" s="121"/>
      <c r="M522" s="122"/>
      <c r="N522" s="25"/>
    </row>
    <row r="523">
      <c r="A523" s="25"/>
      <c r="B523" s="25"/>
      <c r="C523" s="121"/>
      <c r="D523" s="121"/>
      <c r="E523" s="121"/>
      <c r="F523" s="121"/>
      <c r="G523" s="121"/>
      <c r="H523" s="121"/>
      <c r="I523" s="121"/>
      <c r="J523" s="121"/>
      <c r="K523" s="121"/>
      <c r="L523" s="121"/>
      <c r="M523" s="122"/>
      <c r="N523" s="25"/>
    </row>
    <row r="524">
      <c r="A524" s="25"/>
      <c r="B524" s="25"/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2"/>
      <c r="N524" s="25"/>
    </row>
    <row r="525">
      <c r="A525" s="25"/>
      <c r="B525" s="25"/>
      <c r="C525" s="121"/>
      <c r="D525" s="121"/>
      <c r="E525" s="121"/>
      <c r="F525" s="121"/>
      <c r="G525" s="121"/>
      <c r="H525" s="121"/>
      <c r="I525" s="121"/>
      <c r="J525" s="121"/>
      <c r="K525" s="121"/>
      <c r="L525" s="121"/>
      <c r="M525" s="122"/>
      <c r="N525" s="25"/>
    </row>
    <row r="526">
      <c r="A526" s="25"/>
      <c r="B526" s="25"/>
      <c r="C526" s="121"/>
      <c r="D526" s="121"/>
      <c r="E526" s="121"/>
      <c r="F526" s="121"/>
      <c r="G526" s="121"/>
      <c r="H526" s="121"/>
      <c r="I526" s="121"/>
      <c r="J526" s="121"/>
      <c r="K526" s="121"/>
      <c r="L526" s="121"/>
      <c r="M526" s="122"/>
      <c r="N526" s="25"/>
    </row>
    <row r="527">
      <c r="A527" s="25"/>
      <c r="B527" s="25"/>
      <c r="C527" s="121"/>
      <c r="D527" s="121"/>
      <c r="E527" s="121"/>
      <c r="F527" s="121"/>
      <c r="G527" s="121"/>
      <c r="H527" s="121"/>
      <c r="I527" s="121"/>
      <c r="J527" s="121"/>
      <c r="K527" s="121"/>
      <c r="L527" s="121"/>
      <c r="M527" s="122"/>
      <c r="N527" s="25"/>
    </row>
    <row r="528">
      <c r="A528" s="25"/>
      <c r="B528" s="25"/>
      <c r="C528" s="121"/>
      <c r="D528" s="121"/>
      <c r="E528" s="121"/>
      <c r="F528" s="121"/>
      <c r="G528" s="121"/>
      <c r="H528" s="121"/>
      <c r="I528" s="121"/>
      <c r="J528" s="121"/>
      <c r="K528" s="121"/>
      <c r="L528" s="121"/>
      <c r="M528" s="122"/>
      <c r="N528" s="25"/>
    </row>
    <row r="529">
      <c r="A529" s="25"/>
      <c r="B529" s="25"/>
      <c r="C529" s="121"/>
      <c r="D529" s="121"/>
      <c r="E529" s="121"/>
      <c r="F529" s="121"/>
      <c r="G529" s="121"/>
      <c r="H529" s="121"/>
      <c r="I529" s="121"/>
      <c r="J529" s="121"/>
      <c r="K529" s="121"/>
      <c r="L529" s="121"/>
      <c r="M529" s="122"/>
      <c r="N529" s="25"/>
    </row>
    <row r="530">
      <c r="A530" s="25"/>
      <c r="B530" s="25"/>
      <c r="C530" s="121"/>
      <c r="D530" s="121"/>
      <c r="E530" s="121"/>
      <c r="F530" s="121"/>
      <c r="G530" s="121"/>
      <c r="H530" s="121"/>
      <c r="I530" s="121"/>
      <c r="J530" s="121"/>
      <c r="K530" s="121"/>
      <c r="L530" s="121"/>
      <c r="M530" s="122"/>
      <c r="N530" s="25"/>
    </row>
    <row r="531">
      <c r="A531" s="25"/>
      <c r="B531" s="25"/>
      <c r="C531" s="121"/>
      <c r="D531" s="121"/>
      <c r="E531" s="121"/>
      <c r="F531" s="121"/>
      <c r="G531" s="121"/>
      <c r="H531" s="121"/>
      <c r="I531" s="121"/>
      <c r="J531" s="121"/>
      <c r="K531" s="121"/>
      <c r="L531" s="121"/>
      <c r="M531" s="122"/>
      <c r="N531" s="25"/>
    </row>
    <row r="532">
      <c r="A532" s="25"/>
      <c r="B532" s="25"/>
      <c r="C532" s="121"/>
      <c r="D532" s="121"/>
      <c r="E532" s="121"/>
      <c r="F532" s="121"/>
      <c r="G532" s="121"/>
      <c r="H532" s="121"/>
      <c r="I532" s="121"/>
      <c r="J532" s="121"/>
      <c r="K532" s="121"/>
      <c r="L532" s="121"/>
      <c r="M532" s="122"/>
      <c r="N532" s="25"/>
    </row>
    <row r="533">
      <c r="A533" s="25"/>
      <c r="B533" s="25"/>
      <c r="C533" s="121"/>
      <c r="D533" s="121"/>
      <c r="E533" s="121"/>
      <c r="F533" s="121"/>
      <c r="G533" s="121"/>
      <c r="H533" s="121"/>
      <c r="I533" s="121"/>
      <c r="J533" s="121"/>
      <c r="K533" s="121"/>
      <c r="L533" s="121"/>
      <c r="M533" s="122"/>
      <c r="N533" s="25"/>
    </row>
    <row r="534">
      <c r="A534" s="25"/>
      <c r="B534" s="25"/>
      <c r="C534" s="121"/>
      <c r="D534" s="121"/>
      <c r="E534" s="121"/>
      <c r="F534" s="121"/>
      <c r="G534" s="121"/>
      <c r="H534" s="121"/>
      <c r="I534" s="121"/>
      <c r="J534" s="121"/>
      <c r="K534" s="121"/>
      <c r="L534" s="121"/>
      <c r="M534" s="122"/>
      <c r="N534" s="25"/>
    </row>
    <row r="535">
      <c r="A535" s="25"/>
      <c r="B535" s="25"/>
      <c r="C535" s="121"/>
      <c r="D535" s="121"/>
      <c r="E535" s="121"/>
      <c r="F535" s="121"/>
      <c r="G535" s="121"/>
      <c r="H535" s="121"/>
      <c r="I535" s="121"/>
      <c r="J535" s="121"/>
      <c r="K535" s="121"/>
      <c r="L535" s="121"/>
      <c r="M535" s="122"/>
      <c r="N535" s="25"/>
    </row>
    <row r="536">
      <c r="A536" s="25"/>
      <c r="B536" s="25"/>
      <c r="C536" s="121"/>
      <c r="D536" s="121"/>
      <c r="E536" s="121"/>
      <c r="F536" s="121"/>
      <c r="G536" s="121"/>
      <c r="H536" s="121"/>
      <c r="I536" s="121"/>
      <c r="J536" s="121"/>
      <c r="K536" s="121"/>
      <c r="L536" s="121"/>
      <c r="M536" s="122"/>
      <c r="N536" s="25"/>
    </row>
    <row r="537">
      <c r="A537" s="25"/>
      <c r="B537" s="25"/>
      <c r="C537" s="121"/>
      <c r="D537" s="121"/>
      <c r="E537" s="121"/>
      <c r="F537" s="121"/>
      <c r="G537" s="121"/>
      <c r="H537" s="121"/>
      <c r="I537" s="121"/>
      <c r="J537" s="121"/>
      <c r="K537" s="121"/>
      <c r="L537" s="121"/>
      <c r="M537" s="122"/>
      <c r="N537" s="25"/>
    </row>
    <row r="538">
      <c r="A538" s="25"/>
      <c r="B538" s="25"/>
      <c r="C538" s="121"/>
      <c r="D538" s="121"/>
      <c r="E538" s="121"/>
      <c r="F538" s="121"/>
      <c r="G538" s="121"/>
      <c r="H538" s="121"/>
      <c r="I538" s="121"/>
      <c r="J538" s="121"/>
      <c r="K538" s="121"/>
      <c r="L538" s="121"/>
      <c r="M538" s="122"/>
      <c r="N538" s="25"/>
    </row>
    <row r="539">
      <c r="A539" s="25"/>
      <c r="B539" s="25"/>
      <c r="C539" s="121"/>
      <c r="D539" s="121"/>
      <c r="E539" s="121"/>
      <c r="F539" s="121"/>
      <c r="G539" s="121"/>
      <c r="H539" s="121"/>
      <c r="I539" s="121"/>
      <c r="J539" s="121"/>
      <c r="K539" s="121"/>
      <c r="L539" s="121"/>
      <c r="M539" s="122"/>
      <c r="N539" s="25"/>
    </row>
    <row r="540">
      <c r="A540" s="25"/>
      <c r="B540" s="25"/>
      <c r="C540" s="121"/>
      <c r="D540" s="121"/>
      <c r="E540" s="121"/>
      <c r="F540" s="121"/>
      <c r="G540" s="121"/>
      <c r="H540" s="121"/>
      <c r="I540" s="121"/>
      <c r="J540" s="121"/>
      <c r="K540" s="121"/>
      <c r="L540" s="121"/>
      <c r="M540" s="122"/>
      <c r="N540" s="25"/>
    </row>
    <row r="541">
      <c r="A541" s="25"/>
      <c r="B541" s="25"/>
      <c r="C541" s="121"/>
      <c r="D541" s="121"/>
      <c r="E541" s="121"/>
      <c r="F541" s="121"/>
      <c r="G541" s="121"/>
      <c r="H541" s="121"/>
      <c r="I541" s="121"/>
      <c r="J541" s="121"/>
      <c r="K541" s="121"/>
      <c r="L541" s="121"/>
      <c r="M541" s="122"/>
      <c r="N541" s="25"/>
    </row>
    <row r="542">
      <c r="A542" s="25"/>
      <c r="B542" s="25"/>
      <c r="C542" s="121"/>
      <c r="D542" s="121"/>
      <c r="E542" s="121"/>
      <c r="F542" s="121"/>
      <c r="G542" s="121"/>
      <c r="H542" s="121"/>
      <c r="I542" s="121"/>
      <c r="J542" s="121"/>
      <c r="K542" s="121"/>
      <c r="L542" s="121"/>
      <c r="M542" s="122"/>
      <c r="N542" s="25"/>
    </row>
    <row r="543">
      <c r="A543" s="25"/>
      <c r="B543" s="25"/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2"/>
      <c r="N543" s="25"/>
    </row>
    <row r="544">
      <c r="A544" s="25"/>
      <c r="B544" s="25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2"/>
      <c r="N544" s="25"/>
    </row>
    <row r="545">
      <c r="A545" s="25"/>
      <c r="B545" s="25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2"/>
      <c r="N545" s="25"/>
    </row>
    <row r="546">
      <c r="A546" s="25"/>
      <c r="B546" s="25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2"/>
      <c r="N546" s="25"/>
    </row>
    <row r="547">
      <c r="A547" s="25"/>
      <c r="B547" s="25"/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2"/>
      <c r="N547" s="25"/>
    </row>
    <row r="548">
      <c r="A548" s="25"/>
      <c r="B548" s="25"/>
      <c r="C548" s="121"/>
      <c r="D548" s="121"/>
      <c r="E548" s="121"/>
      <c r="F548" s="121"/>
      <c r="G548" s="121"/>
      <c r="H548" s="121"/>
      <c r="I548" s="121"/>
      <c r="J548" s="121"/>
      <c r="K548" s="121"/>
      <c r="L548" s="121"/>
      <c r="M548" s="122"/>
      <c r="N548" s="25"/>
    </row>
    <row r="549">
      <c r="A549" s="25"/>
      <c r="B549" s="25"/>
      <c r="C549" s="121"/>
      <c r="D549" s="121"/>
      <c r="E549" s="121"/>
      <c r="F549" s="121"/>
      <c r="G549" s="121"/>
      <c r="H549" s="121"/>
      <c r="I549" s="121"/>
      <c r="J549" s="121"/>
      <c r="K549" s="121"/>
      <c r="L549" s="121"/>
      <c r="M549" s="122"/>
      <c r="N549" s="25"/>
    </row>
    <row r="550">
      <c r="A550" s="25"/>
      <c r="B550" s="25"/>
      <c r="C550" s="121"/>
      <c r="D550" s="121"/>
      <c r="E550" s="121"/>
      <c r="F550" s="121"/>
      <c r="G550" s="121"/>
      <c r="H550" s="121"/>
      <c r="I550" s="121"/>
      <c r="J550" s="121"/>
      <c r="K550" s="121"/>
      <c r="L550" s="121"/>
      <c r="M550" s="122"/>
      <c r="N550" s="25"/>
    </row>
    <row r="551">
      <c r="A551" s="25"/>
      <c r="B551" s="25"/>
      <c r="C551" s="121"/>
      <c r="D551" s="121"/>
      <c r="E551" s="121"/>
      <c r="F551" s="121"/>
      <c r="G551" s="121"/>
      <c r="H551" s="121"/>
      <c r="I551" s="121"/>
      <c r="J551" s="121"/>
      <c r="K551" s="121"/>
      <c r="L551" s="121"/>
      <c r="M551" s="122"/>
      <c r="N551" s="25"/>
    </row>
    <row r="552">
      <c r="A552" s="25"/>
      <c r="B552" s="25"/>
      <c r="C552" s="121"/>
      <c r="D552" s="121"/>
      <c r="E552" s="121"/>
      <c r="F552" s="121"/>
      <c r="G552" s="121"/>
      <c r="H552" s="121"/>
      <c r="I552" s="121"/>
      <c r="J552" s="121"/>
      <c r="K552" s="121"/>
      <c r="L552" s="121"/>
      <c r="M552" s="122"/>
      <c r="N552" s="25"/>
    </row>
    <row r="553">
      <c r="A553" s="25"/>
      <c r="B553" s="25"/>
      <c r="C553" s="121"/>
      <c r="D553" s="121"/>
      <c r="E553" s="121"/>
      <c r="F553" s="121"/>
      <c r="G553" s="121"/>
      <c r="H553" s="121"/>
      <c r="I553" s="121"/>
      <c r="J553" s="121"/>
      <c r="K553" s="121"/>
      <c r="L553" s="121"/>
      <c r="M553" s="122"/>
      <c r="N553" s="25"/>
    </row>
    <row r="554">
      <c r="A554" s="25"/>
      <c r="B554" s="25"/>
      <c r="C554" s="121"/>
      <c r="D554" s="121"/>
      <c r="E554" s="121"/>
      <c r="F554" s="121"/>
      <c r="G554" s="121"/>
      <c r="H554" s="121"/>
      <c r="I554" s="121"/>
      <c r="J554" s="121"/>
      <c r="K554" s="121"/>
      <c r="L554" s="121"/>
      <c r="M554" s="122"/>
      <c r="N554" s="25"/>
    </row>
    <row r="555">
      <c r="A555" s="25"/>
      <c r="B555" s="25"/>
      <c r="C555" s="121"/>
      <c r="D555" s="121"/>
      <c r="E555" s="121"/>
      <c r="F555" s="121"/>
      <c r="G555" s="121"/>
      <c r="H555" s="121"/>
      <c r="I555" s="121"/>
      <c r="J555" s="121"/>
      <c r="K555" s="121"/>
      <c r="L555" s="121"/>
      <c r="M555" s="122"/>
      <c r="N555" s="25"/>
    </row>
    <row r="556">
      <c r="A556" s="25"/>
      <c r="B556" s="25"/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2"/>
      <c r="N556" s="25"/>
    </row>
    <row r="557">
      <c r="A557" s="25"/>
      <c r="B557" s="25"/>
      <c r="C557" s="121"/>
      <c r="D557" s="121"/>
      <c r="E557" s="121"/>
      <c r="F557" s="121"/>
      <c r="G557" s="121"/>
      <c r="H557" s="121"/>
      <c r="I557" s="121"/>
      <c r="J557" s="121"/>
      <c r="K557" s="121"/>
      <c r="L557" s="121"/>
      <c r="M557" s="122"/>
      <c r="N557" s="25"/>
    </row>
    <row r="558">
      <c r="A558" s="25"/>
      <c r="B558" s="25"/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2"/>
      <c r="N558" s="25"/>
    </row>
    <row r="559">
      <c r="A559" s="25"/>
      <c r="B559" s="25"/>
      <c r="C559" s="121"/>
      <c r="D559" s="121"/>
      <c r="E559" s="121"/>
      <c r="F559" s="121"/>
      <c r="G559" s="121"/>
      <c r="H559" s="121"/>
      <c r="I559" s="121"/>
      <c r="J559" s="121"/>
      <c r="K559" s="121"/>
      <c r="L559" s="121"/>
      <c r="M559" s="122"/>
      <c r="N559" s="25"/>
    </row>
    <row r="560">
      <c r="A560" s="25"/>
      <c r="B560" s="25"/>
      <c r="C560" s="121"/>
      <c r="D560" s="121"/>
      <c r="E560" s="121"/>
      <c r="F560" s="121"/>
      <c r="G560" s="121"/>
      <c r="H560" s="121"/>
      <c r="I560" s="121"/>
      <c r="J560" s="121"/>
      <c r="K560" s="121"/>
      <c r="L560" s="121"/>
      <c r="M560" s="122"/>
      <c r="N560" s="25"/>
    </row>
    <row r="561">
      <c r="A561" s="25"/>
      <c r="B561" s="25"/>
      <c r="C561" s="121"/>
      <c r="D561" s="121"/>
      <c r="E561" s="121"/>
      <c r="F561" s="121"/>
      <c r="G561" s="121"/>
      <c r="H561" s="121"/>
      <c r="I561" s="121"/>
      <c r="J561" s="121"/>
      <c r="K561" s="121"/>
      <c r="L561" s="121"/>
      <c r="M561" s="122"/>
      <c r="N561" s="25"/>
    </row>
    <row r="562">
      <c r="A562" s="25"/>
      <c r="B562" s="25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2"/>
      <c r="N562" s="25"/>
    </row>
    <row r="563">
      <c r="A563" s="25"/>
      <c r="B563" s="25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2"/>
      <c r="N563" s="25"/>
    </row>
    <row r="564">
      <c r="A564" s="25"/>
      <c r="B564" s="25"/>
      <c r="C564" s="121"/>
      <c r="D564" s="121"/>
      <c r="E564" s="121"/>
      <c r="F564" s="121"/>
      <c r="G564" s="121"/>
      <c r="H564" s="121"/>
      <c r="I564" s="121"/>
      <c r="J564" s="121"/>
      <c r="K564" s="121"/>
      <c r="L564" s="121"/>
      <c r="M564" s="122"/>
      <c r="N564" s="25"/>
    </row>
    <row r="565">
      <c r="A565" s="25"/>
      <c r="B565" s="25"/>
      <c r="C565" s="121"/>
      <c r="D565" s="121"/>
      <c r="E565" s="121"/>
      <c r="F565" s="121"/>
      <c r="G565" s="121"/>
      <c r="H565" s="121"/>
      <c r="I565" s="121"/>
      <c r="J565" s="121"/>
      <c r="K565" s="121"/>
      <c r="L565" s="121"/>
      <c r="M565" s="122"/>
      <c r="N565" s="25"/>
    </row>
    <row r="566">
      <c r="A566" s="25"/>
      <c r="B566" s="25"/>
      <c r="C566" s="121"/>
      <c r="D566" s="121"/>
      <c r="E566" s="121"/>
      <c r="F566" s="121"/>
      <c r="G566" s="121"/>
      <c r="H566" s="121"/>
      <c r="I566" s="121"/>
      <c r="J566" s="121"/>
      <c r="K566" s="121"/>
      <c r="L566" s="121"/>
      <c r="M566" s="122"/>
      <c r="N566" s="25"/>
    </row>
    <row r="567">
      <c r="A567" s="25"/>
      <c r="B567" s="25"/>
      <c r="C567" s="121"/>
      <c r="D567" s="121"/>
      <c r="E567" s="121"/>
      <c r="F567" s="121"/>
      <c r="G567" s="121"/>
      <c r="H567" s="121"/>
      <c r="I567" s="121"/>
      <c r="J567" s="121"/>
      <c r="K567" s="121"/>
      <c r="L567" s="121"/>
      <c r="M567" s="122"/>
      <c r="N567" s="25"/>
    </row>
    <row r="568">
      <c r="A568" s="25"/>
      <c r="B568" s="25"/>
      <c r="C568" s="121"/>
      <c r="D568" s="121"/>
      <c r="E568" s="121"/>
      <c r="F568" s="121"/>
      <c r="G568" s="121"/>
      <c r="H568" s="121"/>
      <c r="I568" s="121"/>
      <c r="J568" s="121"/>
      <c r="K568" s="121"/>
      <c r="L568" s="121"/>
      <c r="M568" s="122"/>
      <c r="N568" s="25"/>
    </row>
    <row r="569">
      <c r="A569" s="25"/>
      <c r="B569" s="25"/>
      <c r="C569" s="121"/>
      <c r="D569" s="121"/>
      <c r="E569" s="121"/>
      <c r="F569" s="121"/>
      <c r="G569" s="121"/>
      <c r="H569" s="121"/>
      <c r="I569" s="121"/>
      <c r="J569" s="121"/>
      <c r="K569" s="121"/>
      <c r="L569" s="121"/>
      <c r="M569" s="122"/>
      <c r="N569" s="25"/>
    </row>
    <row r="570">
      <c r="A570" s="25"/>
      <c r="B570" s="25"/>
      <c r="C570" s="121"/>
      <c r="D570" s="121"/>
      <c r="E570" s="121"/>
      <c r="F570" s="121"/>
      <c r="G570" s="121"/>
      <c r="H570" s="121"/>
      <c r="I570" s="121"/>
      <c r="J570" s="121"/>
      <c r="K570" s="121"/>
      <c r="L570" s="121"/>
      <c r="M570" s="122"/>
      <c r="N570" s="25"/>
    </row>
    <row r="571">
      <c r="A571" s="25"/>
      <c r="B571" s="25"/>
      <c r="C571" s="121"/>
      <c r="D571" s="121"/>
      <c r="E571" s="121"/>
      <c r="F571" s="121"/>
      <c r="G571" s="121"/>
      <c r="H571" s="121"/>
      <c r="I571" s="121"/>
      <c r="J571" s="121"/>
      <c r="K571" s="121"/>
      <c r="L571" s="121"/>
      <c r="M571" s="122"/>
      <c r="N571" s="25"/>
    </row>
    <row r="572">
      <c r="A572" s="25"/>
      <c r="B572" s="25"/>
      <c r="C572" s="121"/>
      <c r="D572" s="121"/>
      <c r="E572" s="121"/>
      <c r="F572" s="121"/>
      <c r="G572" s="121"/>
      <c r="H572" s="121"/>
      <c r="I572" s="121"/>
      <c r="J572" s="121"/>
      <c r="K572" s="121"/>
      <c r="L572" s="121"/>
      <c r="M572" s="122"/>
      <c r="N572" s="25"/>
    </row>
    <row r="573">
      <c r="A573" s="25"/>
      <c r="B573" s="25"/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2"/>
      <c r="N573" s="25"/>
    </row>
    <row r="574">
      <c r="A574" s="25"/>
      <c r="B574" s="25"/>
      <c r="C574" s="121"/>
      <c r="D574" s="121"/>
      <c r="E574" s="121"/>
      <c r="F574" s="121"/>
      <c r="G574" s="121"/>
      <c r="H574" s="121"/>
      <c r="I574" s="121"/>
      <c r="J574" s="121"/>
      <c r="K574" s="121"/>
      <c r="L574" s="121"/>
      <c r="M574" s="122"/>
      <c r="N574" s="25"/>
    </row>
    <row r="575">
      <c r="A575" s="25"/>
      <c r="B575" s="25"/>
      <c r="C575" s="121"/>
      <c r="D575" s="121"/>
      <c r="E575" s="121"/>
      <c r="F575" s="121"/>
      <c r="G575" s="121"/>
      <c r="H575" s="121"/>
      <c r="I575" s="121"/>
      <c r="J575" s="121"/>
      <c r="K575" s="121"/>
      <c r="L575" s="121"/>
      <c r="M575" s="122"/>
      <c r="N575" s="25"/>
    </row>
    <row r="576">
      <c r="A576" s="25"/>
      <c r="B576" s="25"/>
      <c r="C576" s="121"/>
      <c r="D576" s="121"/>
      <c r="E576" s="121"/>
      <c r="F576" s="121"/>
      <c r="G576" s="121"/>
      <c r="H576" s="121"/>
      <c r="I576" s="121"/>
      <c r="J576" s="121"/>
      <c r="K576" s="121"/>
      <c r="L576" s="121"/>
      <c r="M576" s="122"/>
      <c r="N576" s="25"/>
    </row>
    <row r="577">
      <c r="A577" s="25"/>
      <c r="B577" s="25"/>
      <c r="C577" s="121"/>
      <c r="D577" s="121"/>
      <c r="E577" s="121"/>
      <c r="F577" s="121"/>
      <c r="G577" s="121"/>
      <c r="H577" s="121"/>
      <c r="I577" s="121"/>
      <c r="J577" s="121"/>
      <c r="K577" s="121"/>
      <c r="L577" s="121"/>
      <c r="M577" s="122"/>
      <c r="N577" s="25"/>
    </row>
    <row r="578">
      <c r="A578" s="25"/>
      <c r="B578" s="25"/>
      <c r="C578" s="121"/>
      <c r="D578" s="121"/>
      <c r="E578" s="121"/>
      <c r="F578" s="121"/>
      <c r="G578" s="121"/>
      <c r="H578" s="121"/>
      <c r="I578" s="121"/>
      <c r="J578" s="121"/>
      <c r="K578" s="121"/>
      <c r="L578" s="121"/>
      <c r="M578" s="122"/>
      <c r="N578" s="25"/>
    </row>
    <row r="579">
      <c r="A579" s="25"/>
      <c r="B579" s="25"/>
      <c r="C579" s="121"/>
      <c r="D579" s="121"/>
      <c r="E579" s="121"/>
      <c r="F579" s="121"/>
      <c r="G579" s="121"/>
      <c r="H579" s="121"/>
      <c r="I579" s="121"/>
      <c r="J579" s="121"/>
      <c r="K579" s="121"/>
      <c r="L579" s="121"/>
      <c r="M579" s="122"/>
      <c r="N579" s="25"/>
    </row>
    <row r="580">
      <c r="A580" s="25"/>
      <c r="B580" s="25"/>
      <c r="C580" s="121"/>
      <c r="D580" s="121"/>
      <c r="E580" s="121"/>
      <c r="F580" s="121"/>
      <c r="G580" s="121"/>
      <c r="H580" s="121"/>
      <c r="I580" s="121"/>
      <c r="J580" s="121"/>
      <c r="K580" s="121"/>
      <c r="L580" s="121"/>
      <c r="M580" s="122"/>
      <c r="N580" s="25"/>
    </row>
    <row r="581">
      <c r="A581" s="25"/>
      <c r="B581" s="25"/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2"/>
      <c r="N581" s="25"/>
    </row>
    <row r="582">
      <c r="A582" s="25"/>
      <c r="B582" s="25"/>
      <c r="C582" s="121"/>
      <c r="D582" s="121"/>
      <c r="E582" s="121"/>
      <c r="F582" s="121"/>
      <c r="G582" s="121"/>
      <c r="H582" s="121"/>
      <c r="I582" s="121"/>
      <c r="J582" s="121"/>
      <c r="K582" s="121"/>
      <c r="L582" s="121"/>
      <c r="M582" s="122"/>
      <c r="N582" s="25"/>
    </row>
    <row r="583">
      <c r="A583" s="25"/>
      <c r="B583" s="25"/>
      <c r="C583" s="121"/>
      <c r="D583" s="121"/>
      <c r="E583" s="121"/>
      <c r="F583" s="121"/>
      <c r="G583" s="121"/>
      <c r="H583" s="121"/>
      <c r="I583" s="121"/>
      <c r="J583" s="121"/>
      <c r="K583" s="121"/>
      <c r="L583" s="121"/>
      <c r="M583" s="122"/>
      <c r="N583" s="25"/>
    </row>
    <row r="584">
      <c r="A584" s="25"/>
      <c r="B584" s="25"/>
      <c r="C584" s="121"/>
      <c r="D584" s="121"/>
      <c r="E584" s="121"/>
      <c r="F584" s="121"/>
      <c r="G584" s="121"/>
      <c r="H584" s="121"/>
      <c r="I584" s="121"/>
      <c r="J584" s="121"/>
      <c r="K584" s="121"/>
      <c r="L584" s="121"/>
      <c r="M584" s="122"/>
      <c r="N584" s="25"/>
    </row>
    <row r="585">
      <c r="A585" s="25"/>
      <c r="B585" s="25"/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2"/>
      <c r="N585" s="25"/>
    </row>
    <row r="586">
      <c r="A586" s="25"/>
      <c r="B586" s="25"/>
      <c r="C586" s="121"/>
      <c r="D586" s="121"/>
      <c r="E586" s="121"/>
      <c r="F586" s="121"/>
      <c r="G586" s="121"/>
      <c r="H586" s="121"/>
      <c r="I586" s="121"/>
      <c r="J586" s="121"/>
      <c r="K586" s="121"/>
      <c r="L586" s="121"/>
      <c r="M586" s="122"/>
      <c r="N586" s="25"/>
    </row>
    <row r="587">
      <c r="A587" s="25"/>
      <c r="B587" s="25"/>
      <c r="C587" s="121"/>
      <c r="D587" s="121"/>
      <c r="E587" s="121"/>
      <c r="F587" s="121"/>
      <c r="G587" s="121"/>
      <c r="H587" s="121"/>
      <c r="I587" s="121"/>
      <c r="J587" s="121"/>
      <c r="K587" s="121"/>
      <c r="L587" s="121"/>
      <c r="M587" s="122"/>
      <c r="N587" s="25"/>
    </row>
    <row r="588">
      <c r="A588" s="25"/>
      <c r="B588" s="25"/>
      <c r="C588" s="121"/>
      <c r="D588" s="121"/>
      <c r="E588" s="121"/>
      <c r="F588" s="121"/>
      <c r="G588" s="121"/>
      <c r="H588" s="121"/>
      <c r="I588" s="121"/>
      <c r="J588" s="121"/>
      <c r="K588" s="121"/>
      <c r="L588" s="121"/>
      <c r="M588" s="122"/>
      <c r="N588" s="25"/>
    </row>
    <row r="589">
      <c r="A589" s="25"/>
      <c r="B589" s="25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2"/>
      <c r="N589" s="25"/>
    </row>
    <row r="590">
      <c r="A590" s="25"/>
      <c r="B590" s="25"/>
      <c r="C590" s="121"/>
      <c r="D590" s="121"/>
      <c r="E590" s="121"/>
      <c r="F590" s="121"/>
      <c r="G590" s="121"/>
      <c r="H590" s="121"/>
      <c r="I590" s="121"/>
      <c r="J590" s="121"/>
      <c r="K590" s="121"/>
      <c r="L590" s="121"/>
      <c r="M590" s="122"/>
      <c r="N590" s="25"/>
    </row>
    <row r="591">
      <c r="A591" s="25"/>
      <c r="B591" s="25"/>
      <c r="C591" s="121"/>
      <c r="D591" s="121"/>
      <c r="E591" s="121"/>
      <c r="F591" s="121"/>
      <c r="G591" s="121"/>
      <c r="H591" s="121"/>
      <c r="I591" s="121"/>
      <c r="J591" s="121"/>
      <c r="K591" s="121"/>
      <c r="L591" s="121"/>
      <c r="M591" s="122"/>
      <c r="N591" s="25"/>
    </row>
    <row r="592">
      <c r="A592" s="25"/>
      <c r="B592" s="25"/>
      <c r="C592" s="121"/>
      <c r="D592" s="121"/>
      <c r="E592" s="121"/>
      <c r="F592" s="121"/>
      <c r="G592" s="121"/>
      <c r="H592" s="121"/>
      <c r="I592" s="121"/>
      <c r="J592" s="121"/>
      <c r="K592" s="121"/>
      <c r="L592" s="121"/>
      <c r="M592" s="122"/>
      <c r="N592" s="25"/>
    </row>
    <row r="593">
      <c r="A593" s="25"/>
      <c r="B593" s="25"/>
      <c r="C593" s="121"/>
      <c r="D593" s="121"/>
      <c r="E593" s="121"/>
      <c r="F593" s="121"/>
      <c r="G593" s="121"/>
      <c r="H593" s="121"/>
      <c r="I593" s="121"/>
      <c r="J593" s="121"/>
      <c r="K593" s="121"/>
      <c r="L593" s="121"/>
      <c r="M593" s="122"/>
      <c r="N593" s="25"/>
    </row>
    <row r="594">
      <c r="A594" s="25"/>
      <c r="B594" s="25"/>
      <c r="C594" s="121"/>
      <c r="D594" s="121"/>
      <c r="E594" s="121"/>
      <c r="F594" s="121"/>
      <c r="G594" s="121"/>
      <c r="H594" s="121"/>
      <c r="I594" s="121"/>
      <c r="J594" s="121"/>
      <c r="K594" s="121"/>
      <c r="L594" s="121"/>
      <c r="M594" s="122"/>
      <c r="N594" s="25"/>
    </row>
    <row r="595">
      <c r="A595" s="25"/>
      <c r="B595" s="25"/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2"/>
      <c r="N595" s="25"/>
    </row>
    <row r="596">
      <c r="A596" s="25"/>
      <c r="B596" s="25"/>
      <c r="C596" s="121"/>
      <c r="D596" s="121"/>
      <c r="E596" s="121"/>
      <c r="F596" s="121"/>
      <c r="G596" s="121"/>
      <c r="H596" s="121"/>
      <c r="I596" s="121"/>
      <c r="J596" s="121"/>
      <c r="K596" s="121"/>
      <c r="L596" s="121"/>
      <c r="M596" s="122"/>
      <c r="N596" s="25"/>
    </row>
    <row r="597">
      <c r="A597" s="25"/>
      <c r="B597" s="25"/>
      <c r="C597" s="121"/>
      <c r="D597" s="121"/>
      <c r="E597" s="121"/>
      <c r="F597" s="121"/>
      <c r="G597" s="121"/>
      <c r="H597" s="121"/>
      <c r="I597" s="121"/>
      <c r="J597" s="121"/>
      <c r="K597" s="121"/>
      <c r="L597" s="121"/>
      <c r="M597" s="122"/>
      <c r="N597" s="25"/>
    </row>
    <row r="598">
      <c r="A598" s="25"/>
      <c r="B598" s="25"/>
      <c r="C598" s="121"/>
      <c r="D598" s="121"/>
      <c r="E598" s="121"/>
      <c r="F598" s="121"/>
      <c r="G598" s="121"/>
      <c r="H598" s="121"/>
      <c r="I598" s="121"/>
      <c r="J598" s="121"/>
      <c r="K598" s="121"/>
      <c r="L598" s="121"/>
      <c r="M598" s="122"/>
      <c r="N598" s="25"/>
    </row>
    <row r="599">
      <c r="A599" s="25"/>
      <c r="B599" s="25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2"/>
      <c r="N599" s="25"/>
    </row>
    <row r="600">
      <c r="A600" s="25"/>
      <c r="B600" s="25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2"/>
      <c r="N600" s="25"/>
    </row>
    <row r="601">
      <c r="A601" s="25"/>
      <c r="B601" s="25"/>
      <c r="C601" s="121"/>
      <c r="D601" s="121"/>
      <c r="E601" s="121"/>
      <c r="F601" s="121"/>
      <c r="G601" s="121"/>
      <c r="H601" s="121"/>
      <c r="I601" s="121"/>
      <c r="J601" s="121"/>
      <c r="K601" s="121"/>
      <c r="L601" s="121"/>
      <c r="M601" s="122"/>
      <c r="N601" s="25"/>
    </row>
    <row r="602">
      <c r="A602" s="25"/>
      <c r="B602" s="25"/>
      <c r="C602" s="121"/>
      <c r="D602" s="121"/>
      <c r="E602" s="121"/>
      <c r="F602" s="121"/>
      <c r="G602" s="121"/>
      <c r="H602" s="121"/>
      <c r="I602" s="121"/>
      <c r="J602" s="121"/>
      <c r="K602" s="121"/>
      <c r="L602" s="121"/>
      <c r="M602" s="122"/>
      <c r="N602" s="25"/>
    </row>
    <row r="603">
      <c r="A603" s="25"/>
      <c r="B603" s="25"/>
      <c r="C603" s="121"/>
      <c r="D603" s="121"/>
      <c r="E603" s="121"/>
      <c r="F603" s="121"/>
      <c r="G603" s="121"/>
      <c r="H603" s="121"/>
      <c r="I603" s="121"/>
      <c r="J603" s="121"/>
      <c r="K603" s="121"/>
      <c r="L603" s="121"/>
      <c r="M603" s="122"/>
      <c r="N603" s="25"/>
    </row>
    <row r="604">
      <c r="A604" s="25"/>
      <c r="B604" s="25"/>
      <c r="C604" s="121"/>
      <c r="D604" s="121"/>
      <c r="E604" s="121"/>
      <c r="F604" s="121"/>
      <c r="G604" s="121"/>
      <c r="H604" s="121"/>
      <c r="I604" s="121"/>
      <c r="J604" s="121"/>
      <c r="K604" s="121"/>
      <c r="L604" s="121"/>
      <c r="M604" s="122"/>
      <c r="N604" s="25"/>
    </row>
    <row r="605">
      <c r="A605" s="25"/>
      <c r="B605" s="25"/>
      <c r="C605" s="121"/>
      <c r="D605" s="121"/>
      <c r="E605" s="121"/>
      <c r="F605" s="121"/>
      <c r="G605" s="121"/>
      <c r="H605" s="121"/>
      <c r="I605" s="121"/>
      <c r="J605" s="121"/>
      <c r="K605" s="121"/>
      <c r="L605" s="121"/>
      <c r="M605" s="122"/>
      <c r="N605" s="25"/>
    </row>
    <row r="606">
      <c r="A606" s="25"/>
      <c r="B606" s="25"/>
      <c r="C606" s="121"/>
      <c r="D606" s="121"/>
      <c r="E606" s="121"/>
      <c r="F606" s="121"/>
      <c r="G606" s="121"/>
      <c r="H606" s="121"/>
      <c r="I606" s="121"/>
      <c r="J606" s="121"/>
      <c r="K606" s="121"/>
      <c r="L606" s="121"/>
      <c r="M606" s="122"/>
      <c r="N606" s="25"/>
    </row>
    <row r="607">
      <c r="A607" s="25"/>
      <c r="B607" s="25"/>
      <c r="C607" s="121"/>
      <c r="D607" s="121"/>
      <c r="E607" s="121"/>
      <c r="F607" s="121"/>
      <c r="G607" s="121"/>
      <c r="H607" s="121"/>
      <c r="I607" s="121"/>
      <c r="J607" s="121"/>
      <c r="K607" s="121"/>
      <c r="L607" s="121"/>
      <c r="M607" s="122"/>
      <c r="N607" s="25"/>
    </row>
    <row r="608">
      <c r="A608" s="25"/>
      <c r="B608" s="25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2"/>
      <c r="N608" s="25"/>
    </row>
    <row r="609">
      <c r="A609" s="25"/>
      <c r="B609" s="25"/>
      <c r="C609" s="121"/>
      <c r="D609" s="121"/>
      <c r="E609" s="121"/>
      <c r="F609" s="121"/>
      <c r="G609" s="121"/>
      <c r="H609" s="121"/>
      <c r="I609" s="121"/>
      <c r="J609" s="121"/>
      <c r="K609" s="121"/>
      <c r="L609" s="121"/>
      <c r="M609" s="122"/>
      <c r="N609" s="25"/>
    </row>
    <row r="610">
      <c r="A610" s="25"/>
      <c r="B610" s="25"/>
      <c r="C610" s="121"/>
      <c r="D610" s="121"/>
      <c r="E610" s="121"/>
      <c r="F610" s="121"/>
      <c r="G610" s="121"/>
      <c r="H610" s="121"/>
      <c r="I610" s="121"/>
      <c r="J610" s="121"/>
      <c r="K610" s="121"/>
      <c r="L610" s="121"/>
      <c r="M610" s="122"/>
      <c r="N610" s="25"/>
    </row>
    <row r="611">
      <c r="A611" s="25"/>
      <c r="B611" s="25"/>
      <c r="C611" s="121"/>
      <c r="D611" s="121"/>
      <c r="E611" s="121"/>
      <c r="F611" s="121"/>
      <c r="G611" s="121"/>
      <c r="H611" s="121"/>
      <c r="I611" s="121"/>
      <c r="J611" s="121"/>
      <c r="K611" s="121"/>
      <c r="L611" s="121"/>
      <c r="M611" s="122"/>
      <c r="N611" s="25"/>
    </row>
    <row r="612">
      <c r="A612" s="25"/>
      <c r="B612" s="25"/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2"/>
      <c r="N612" s="25"/>
    </row>
    <row r="613">
      <c r="A613" s="25"/>
      <c r="B613" s="25"/>
      <c r="C613" s="121"/>
      <c r="D613" s="121"/>
      <c r="E613" s="121"/>
      <c r="F613" s="121"/>
      <c r="G613" s="121"/>
      <c r="H613" s="121"/>
      <c r="I613" s="121"/>
      <c r="J613" s="121"/>
      <c r="K613" s="121"/>
      <c r="L613" s="121"/>
      <c r="M613" s="122"/>
      <c r="N613" s="25"/>
    </row>
    <row r="614">
      <c r="A614" s="25"/>
      <c r="B614" s="25"/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2"/>
      <c r="N614" s="25"/>
    </row>
    <row r="615">
      <c r="A615" s="25"/>
      <c r="B615" s="25"/>
      <c r="C615" s="121"/>
      <c r="D615" s="121"/>
      <c r="E615" s="121"/>
      <c r="F615" s="121"/>
      <c r="G615" s="121"/>
      <c r="H615" s="121"/>
      <c r="I615" s="121"/>
      <c r="J615" s="121"/>
      <c r="K615" s="121"/>
      <c r="L615" s="121"/>
      <c r="M615" s="122"/>
      <c r="N615" s="25"/>
    </row>
    <row r="616">
      <c r="A616" s="25"/>
      <c r="B616" s="25"/>
      <c r="C616" s="121"/>
      <c r="D616" s="121"/>
      <c r="E616" s="121"/>
      <c r="F616" s="121"/>
      <c r="G616" s="121"/>
      <c r="H616" s="121"/>
      <c r="I616" s="121"/>
      <c r="J616" s="121"/>
      <c r="K616" s="121"/>
      <c r="L616" s="121"/>
      <c r="M616" s="122"/>
      <c r="N616" s="25"/>
    </row>
    <row r="617">
      <c r="A617" s="25"/>
      <c r="B617" s="25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2"/>
      <c r="N617" s="25"/>
    </row>
    <row r="618">
      <c r="A618" s="25"/>
      <c r="B618" s="25"/>
      <c r="C618" s="121"/>
      <c r="D618" s="121"/>
      <c r="E618" s="121"/>
      <c r="F618" s="121"/>
      <c r="G618" s="121"/>
      <c r="H618" s="121"/>
      <c r="I618" s="121"/>
      <c r="J618" s="121"/>
      <c r="K618" s="121"/>
      <c r="L618" s="121"/>
      <c r="M618" s="122"/>
      <c r="N618" s="25"/>
    </row>
    <row r="619">
      <c r="A619" s="25"/>
      <c r="B619" s="25"/>
      <c r="C619" s="121"/>
      <c r="D619" s="121"/>
      <c r="E619" s="121"/>
      <c r="F619" s="121"/>
      <c r="G619" s="121"/>
      <c r="H619" s="121"/>
      <c r="I619" s="121"/>
      <c r="J619" s="121"/>
      <c r="K619" s="121"/>
      <c r="L619" s="121"/>
      <c r="M619" s="122"/>
      <c r="N619" s="25"/>
    </row>
    <row r="620">
      <c r="A620" s="25"/>
      <c r="B620" s="25"/>
      <c r="C620" s="121"/>
      <c r="D620" s="121"/>
      <c r="E620" s="121"/>
      <c r="F620" s="121"/>
      <c r="G620" s="121"/>
      <c r="H620" s="121"/>
      <c r="I620" s="121"/>
      <c r="J620" s="121"/>
      <c r="K620" s="121"/>
      <c r="L620" s="121"/>
      <c r="M620" s="122"/>
      <c r="N620" s="25"/>
    </row>
    <row r="621">
      <c r="A621" s="25"/>
      <c r="B621" s="25"/>
      <c r="C621" s="121"/>
      <c r="D621" s="121"/>
      <c r="E621" s="121"/>
      <c r="F621" s="121"/>
      <c r="G621" s="121"/>
      <c r="H621" s="121"/>
      <c r="I621" s="121"/>
      <c r="J621" s="121"/>
      <c r="K621" s="121"/>
      <c r="L621" s="121"/>
      <c r="M621" s="122"/>
      <c r="N621" s="25"/>
    </row>
    <row r="622">
      <c r="A622" s="25"/>
      <c r="B622" s="25"/>
      <c r="C622" s="121"/>
      <c r="D622" s="121"/>
      <c r="E622" s="121"/>
      <c r="F622" s="121"/>
      <c r="G622" s="121"/>
      <c r="H622" s="121"/>
      <c r="I622" s="121"/>
      <c r="J622" s="121"/>
      <c r="K622" s="121"/>
      <c r="L622" s="121"/>
      <c r="M622" s="122"/>
      <c r="N622" s="25"/>
    </row>
    <row r="623">
      <c r="A623" s="25"/>
      <c r="B623" s="25"/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2"/>
      <c r="N623" s="25"/>
    </row>
    <row r="624">
      <c r="A624" s="25"/>
      <c r="B624" s="25"/>
      <c r="C624" s="121"/>
      <c r="D624" s="121"/>
      <c r="E624" s="121"/>
      <c r="F624" s="121"/>
      <c r="G624" s="121"/>
      <c r="H624" s="121"/>
      <c r="I624" s="121"/>
      <c r="J624" s="121"/>
      <c r="K624" s="121"/>
      <c r="L624" s="121"/>
      <c r="M624" s="122"/>
      <c r="N624" s="25"/>
    </row>
    <row r="625">
      <c r="A625" s="25"/>
      <c r="B625" s="25"/>
      <c r="C625" s="121"/>
      <c r="D625" s="121"/>
      <c r="E625" s="121"/>
      <c r="F625" s="121"/>
      <c r="G625" s="121"/>
      <c r="H625" s="121"/>
      <c r="I625" s="121"/>
      <c r="J625" s="121"/>
      <c r="K625" s="121"/>
      <c r="L625" s="121"/>
      <c r="M625" s="122"/>
      <c r="N625" s="25"/>
    </row>
    <row r="626">
      <c r="A626" s="25"/>
      <c r="B626" s="25"/>
      <c r="C626" s="121"/>
      <c r="D626" s="121"/>
      <c r="E626" s="121"/>
      <c r="F626" s="121"/>
      <c r="G626" s="121"/>
      <c r="H626" s="121"/>
      <c r="I626" s="121"/>
      <c r="J626" s="121"/>
      <c r="K626" s="121"/>
      <c r="L626" s="121"/>
      <c r="M626" s="122"/>
      <c r="N626" s="25"/>
    </row>
    <row r="627">
      <c r="A627" s="25"/>
      <c r="B627" s="25"/>
      <c r="C627" s="121"/>
      <c r="D627" s="121"/>
      <c r="E627" s="121"/>
      <c r="F627" s="121"/>
      <c r="G627" s="121"/>
      <c r="H627" s="121"/>
      <c r="I627" s="121"/>
      <c r="J627" s="121"/>
      <c r="K627" s="121"/>
      <c r="L627" s="121"/>
      <c r="M627" s="122"/>
      <c r="N627" s="25"/>
    </row>
    <row r="628">
      <c r="A628" s="25"/>
      <c r="B628" s="25"/>
      <c r="C628" s="121"/>
      <c r="D628" s="121"/>
      <c r="E628" s="121"/>
      <c r="F628" s="121"/>
      <c r="G628" s="121"/>
      <c r="H628" s="121"/>
      <c r="I628" s="121"/>
      <c r="J628" s="121"/>
      <c r="K628" s="121"/>
      <c r="L628" s="121"/>
      <c r="M628" s="122"/>
      <c r="N628" s="25"/>
    </row>
    <row r="629">
      <c r="A629" s="25"/>
      <c r="B629" s="25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2"/>
      <c r="N629" s="25"/>
    </row>
    <row r="630">
      <c r="A630" s="25"/>
      <c r="B630" s="25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2"/>
      <c r="N630" s="25"/>
    </row>
    <row r="631">
      <c r="A631" s="25"/>
      <c r="B631" s="25"/>
      <c r="C631" s="121"/>
      <c r="D631" s="121"/>
      <c r="E631" s="121"/>
      <c r="F631" s="121"/>
      <c r="G631" s="121"/>
      <c r="H631" s="121"/>
      <c r="I631" s="121"/>
      <c r="J631" s="121"/>
      <c r="K631" s="121"/>
      <c r="L631" s="121"/>
      <c r="M631" s="122"/>
      <c r="N631" s="25"/>
    </row>
    <row r="632">
      <c r="A632" s="25"/>
      <c r="B632" s="25"/>
      <c r="C632" s="121"/>
      <c r="D632" s="121"/>
      <c r="E632" s="121"/>
      <c r="F632" s="121"/>
      <c r="G632" s="121"/>
      <c r="H632" s="121"/>
      <c r="I632" s="121"/>
      <c r="J632" s="121"/>
      <c r="K632" s="121"/>
      <c r="L632" s="121"/>
      <c r="M632" s="122"/>
      <c r="N632" s="25"/>
    </row>
    <row r="633">
      <c r="A633" s="25"/>
      <c r="B633" s="25"/>
      <c r="C633" s="121"/>
      <c r="D633" s="121"/>
      <c r="E633" s="121"/>
      <c r="F633" s="121"/>
      <c r="G633" s="121"/>
      <c r="H633" s="121"/>
      <c r="I633" s="121"/>
      <c r="J633" s="121"/>
      <c r="K633" s="121"/>
      <c r="L633" s="121"/>
      <c r="M633" s="122"/>
      <c r="N633" s="25"/>
    </row>
    <row r="634">
      <c r="A634" s="25"/>
      <c r="B634" s="25"/>
      <c r="C634" s="121"/>
      <c r="D634" s="121"/>
      <c r="E634" s="121"/>
      <c r="F634" s="121"/>
      <c r="G634" s="121"/>
      <c r="H634" s="121"/>
      <c r="I634" s="121"/>
      <c r="J634" s="121"/>
      <c r="K634" s="121"/>
      <c r="L634" s="121"/>
      <c r="M634" s="122"/>
      <c r="N634" s="25"/>
    </row>
    <row r="635">
      <c r="A635" s="25"/>
      <c r="B635" s="25"/>
      <c r="C635" s="121"/>
      <c r="D635" s="121"/>
      <c r="E635" s="121"/>
      <c r="F635" s="121"/>
      <c r="G635" s="121"/>
      <c r="H635" s="121"/>
      <c r="I635" s="121"/>
      <c r="J635" s="121"/>
      <c r="K635" s="121"/>
      <c r="L635" s="121"/>
      <c r="M635" s="122"/>
      <c r="N635" s="25"/>
    </row>
    <row r="636">
      <c r="A636" s="25"/>
      <c r="B636" s="25"/>
      <c r="C636" s="121"/>
      <c r="D636" s="121"/>
      <c r="E636" s="121"/>
      <c r="F636" s="121"/>
      <c r="G636" s="121"/>
      <c r="H636" s="121"/>
      <c r="I636" s="121"/>
      <c r="J636" s="121"/>
      <c r="K636" s="121"/>
      <c r="L636" s="121"/>
      <c r="M636" s="122"/>
      <c r="N636" s="25"/>
    </row>
    <row r="637">
      <c r="A637" s="25"/>
      <c r="B637" s="25"/>
      <c r="C637" s="121"/>
      <c r="D637" s="121"/>
      <c r="E637" s="121"/>
      <c r="F637" s="121"/>
      <c r="G637" s="121"/>
      <c r="H637" s="121"/>
      <c r="I637" s="121"/>
      <c r="J637" s="121"/>
      <c r="K637" s="121"/>
      <c r="L637" s="121"/>
      <c r="M637" s="122"/>
      <c r="N637" s="25"/>
    </row>
    <row r="638">
      <c r="A638" s="25"/>
      <c r="B638" s="25"/>
      <c r="C638" s="121"/>
      <c r="D638" s="121"/>
      <c r="E638" s="121"/>
      <c r="F638" s="121"/>
      <c r="G638" s="121"/>
      <c r="H638" s="121"/>
      <c r="I638" s="121"/>
      <c r="J638" s="121"/>
      <c r="K638" s="121"/>
      <c r="L638" s="121"/>
      <c r="M638" s="122"/>
      <c r="N638" s="25"/>
    </row>
    <row r="639">
      <c r="A639" s="25"/>
      <c r="B639" s="25"/>
      <c r="C639" s="121"/>
      <c r="D639" s="121"/>
      <c r="E639" s="121"/>
      <c r="F639" s="121"/>
      <c r="G639" s="121"/>
      <c r="H639" s="121"/>
      <c r="I639" s="121"/>
      <c r="J639" s="121"/>
      <c r="K639" s="121"/>
      <c r="L639" s="121"/>
      <c r="M639" s="122"/>
      <c r="N639" s="25"/>
    </row>
    <row r="640">
      <c r="A640" s="25"/>
      <c r="B640" s="25"/>
      <c r="C640" s="121"/>
      <c r="D640" s="121"/>
      <c r="E640" s="121"/>
      <c r="F640" s="121"/>
      <c r="G640" s="121"/>
      <c r="H640" s="121"/>
      <c r="I640" s="121"/>
      <c r="J640" s="121"/>
      <c r="K640" s="121"/>
      <c r="L640" s="121"/>
      <c r="M640" s="122"/>
      <c r="N640" s="25"/>
    </row>
    <row r="641">
      <c r="A641" s="25"/>
      <c r="B641" s="25"/>
      <c r="C641" s="121"/>
      <c r="D641" s="121"/>
      <c r="E641" s="121"/>
      <c r="F641" s="121"/>
      <c r="G641" s="121"/>
      <c r="H641" s="121"/>
      <c r="I641" s="121"/>
      <c r="J641" s="121"/>
      <c r="K641" s="121"/>
      <c r="L641" s="121"/>
      <c r="M641" s="122"/>
      <c r="N641" s="25"/>
    </row>
    <row r="642">
      <c r="A642" s="25"/>
      <c r="B642" s="25"/>
      <c r="C642" s="121"/>
      <c r="D642" s="121"/>
      <c r="E642" s="121"/>
      <c r="F642" s="121"/>
      <c r="G642" s="121"/>
      <c r="H642" s="121"/>
      <c r="I642" s="121"/>
      <c r="J642" s="121"/>
      <c r="K642" s="121"/>
      <c r="L642" s="121"/>
      <c r="M642" s="122"/>
      <c r="N642" s="25"/>
    </row>
    <row r="643">
      <c r="A643" s="25"/>
      <c r="B643" s="25"/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2"/>
      <c r="N643" s="25"/>
    </row>
    <row r="644">
      <c r="A644" s="25"/>
      <c r="B644" s="25"/>
      <c r="C644" s="121"/>
      <c r="D644" s="121"/>
      <c r="E644" s="121"/>
      <c r="F644" s="121"/>
      <c r="G644" s="121"/>
      <c r="H644" s="121"/>
      <c r="I644" s="121"/>
      <c r="J644" s="121"/>
      <c r="K644" s="121"/>
      <c r="L644" s="121"/>
      <c r="M644" s="122"/>
      <c r="N644" s="25"/>
    </row>
    <row r="645">
      <c r="A645" s="25"/>
      <c r="B645" s="25"/>
      <c r="C645" s="121"/>
      <c r="D645" s="121"/>
      <c r="E645" s="121"/>
      <c r="F645" s="121"/>
      <c r="G645" s="121"/>
      <c r="H645" s="121"/>
      <c r="I645" s="121"/>
      <c r="J645" s="121"/>
      <c r="K645" s="121"/>
      <c r="L645" s="121"/>
      <c r="M645" s="122"/>
      <c r="N645" s="25"/>
    </row>
    <row r="646">
      <c r="A646" s="25"/>
      <c r="B646" s="25"/>
      <c r="C646" s="121"/>
      <c r="D646" s="121"/>
      <c r="E646" s="121"/>
      <c r="F646" s="121"/>
      <c r="G646" s="121"/>
      <c r="H646" s="121"/>
      <c r="I646" s="121"/>
      <c r="J646" s="121"/>
      <c r="K646" s="121"/>
      <c r="L646" s="121"/>
      <c r="M646" s="122"/>
      <c r="N646" s="25"/>
    </row>
    <row r="647">
      <c r="A647" s="25"/>
      <c r="B647" s="25"/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2"/>
      <c r="N647" s="25"/>
    </row>
    <row r="648">
      <c r="A648" s="25"/>
      <c r="B648" s="25"/>
      <c r="C648" s="121"/>
      <c r="D648" s="121"/>
      <c r="E648" s="121"/>
      <c r="F648" s="121"/>
      <c r="G648" s="121"/>
      <c r="H648" s="121"/>
      <c r="I648" s="121"/>
      <c r="J648" s="121"/>
      <c r="K648" s="121"/>
      <c r="L648" s="121"/>
      <c r="M648" s="122"/>
      <c r="N648" s="25"/>
    </row>
    <row r="649">
      <c r="A649" s="25"/>
      <c r="B649" s="25"/>
      <c r="C649" s="121"/>
      <c r="D649" s="121"/>
      <c r="E649" s="121"/>
      <c r="F649" s="121"/>
      <c r="G649" s="121"/>
      <c r="H649" s="121"/>
      <c r="I649" s="121"/>
      <c r="J649" s="121"/>
      <c r="K649" s="121"/>
      <c r="L649" s="121"/>
      <c r="M649" s="122"/>
      <c r="N649" s="25"/>
    </row>
    <row r="650">
      <c r="A650" s="25"/>
      <c r="B650" s="25"/>
      <c r="C650" s="121"/>
      <c r="D650" s="121"/>
      <c r="E650" s="121"/>
      <c r="F650" s="121"/>
      <c r="G650" s="121"/>
      <c r="H650" s="121"/>
      <c r="I650" s="121"/>
      <c r="J650" s="121"/>
      <c r="K650" s="121"/>
      <c r="L650" s="121"/>
      <c r="M650" s="122"/>
      <c r="N650" s="25"/>
    </row>
    <row r="651">
      <c r="A651" s="25"/>
      <c r="B651" s="25"/>
      <c r="C651" s="121"/>
      <c r="D651" s="121"/>
      <c r="E651" s="121"/>
      <c r="F651" s="121"/>
      <c r="G651" s="121"/>
      <c r="H651" s="121"/>
      <c r="I651" s="121"/>
      <c r="J651" s="121"/>
      <c r="K651" s="121"/>
      <c r="L651" s="121"/>
      <c r="M651" s="122"/>
      <c r="N651" s="25"/>
    </row>
    <row r="652">
      <c r="A652" s="25"/>
      <c r="B652" s="25"/>
      <c r="C652" s="121"/>
      <c r="D652" s="121"/>
      <c r="E652" s="121"/>
      <c r="F652" s="121"/>
      <c r="G652" s="121"/>
      <c r="H652" s="121"/>
      <c r="I652" s="121"/>
      <c r="J652" s="121"/>
      <c r="K652" s="121"/>
      <c r="L652" s="121"/>
      <c r="M652" s="122"/>
      <c r="N652" s="25"/>
    </row>
    <row r="653">
      <c r="A653" s="25"/>
      <c r="B653" s="25"/>
      <c r="C653" s="121"/>
      <c r="D653" s="121"/>
      <c r="E653" s="121"/>
      <c r="F653" s="121"/>
      <c r="G653" s="121"/>
      <c r="H653" s="121"/>
      <c r="I653" s="121"/>
      <c r="J653" s="121"/>
      <c r="K653" s="121"/>
      <c r="L653" s="121"/>
      <c r="M653" s="122"/>
      <c r="N653" s="25"/>
    </row>
    <row r="654">
      <c r="A654" s="25"/>
      <c r="B654" s="25"/>
      <c r="C654" s="121"/>
      <c r="D654" s="121"/>
      <c r="E654" s="121"/>
      <c r="F654" s="121"/>
      <c r="G654" s="121"/>
      <c r="H654" s="121"/>
      <c r="I654" s="121"/>
      <c r="J654" s="121"/>
      <c r="K654" s="121"/>
      <c r="L654" s="121"/>
      <c r="M654" s="122"/>
      <c r="N654" s="25"/>
    </row>
    <row r="655">
      <c r="A655" s="25"/>
      <c r="B655" s="25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2"/>
      <c r="N655" s="25"/>
    </row>
    <row r="656">
      <c r="A656" s="25"/>
      <c r="B656" s="25"/>
      <c r="C656" s="121"/>
      <c r="D656" s="121"/>
      <c r="E656" s="121"/>
      <c r="F656" s="121"/>
      <c r="G656" s="121"/>
      <c r="H656" s="121"/>
      <c r="I656" s="121"/>
      <c r="J656" s="121"/>
      <c r="K656" s="121"/>
      <c r="L656" s="121"/>
      <c r="M656" s="122"/>
      <c r="N656" s="25"/>
    </row>
    <row r="657">
      <c r="A657" s="25"/>
      <c r="B657" s="25"/>
      <c r="C657" s="121"/>
      <c r="D657" s="121"/>
      <c r="E657" s="121"/>
      <c r="F657" s="121"/>
      <c r="G657" s="121"/>
      <c r="H657" s="121"/>
      <c r="I657" s="121"/>
      <c r="J657" s="121"/>
      <c r="K657" s="121"/>
      <c r="L657" s="121"/>
      <c r="M657" s="122"/>
      <c r="N657" s="25"/>
    </row>
    <row r="658">
      <c r="A658" s="25"/>
      <c r="B658" s="25"/>
      <c r="C658" s="121"/>
      <c r="D658" s="121"/>
      <c r="E658" s="121"/>
      <c r="F658" s="121"/>
      <c r="G658" s="121"/>
      <c r="H658" s="121"/>
      <c r="I658" s="121"/>
      <c r="J658" s="121"/>
      <c r="K658" s="121"/>
      <c r="L658" s="121"/>
      <c r="M658" s="122"/>
      <c r="N658" s="25"/>
    </row>
    <row r="659">
      <c r="A659" s="25"/>
      <c r="B659" s="25"/>
      <c r="C659" s="121"/>
      <c r="D659" s="121"/>
      <c r="E659" s="121"/>
      <c r="F659" s="121"/>
      <c r="G659" s="121"/>
      <c r="H659" s="121"/>
      <c r="I659" s="121"/>
      <c r="J659" s="121"/>
      <c r="K659" s="121"/>
      <c r="L659" s="121"/>
      <c r="M659" s="122"/>
      <c r="N659" s="25"/>
    </row>
    <row r="660">
      <c r="A660" s="25"/>
      <c r="B660" s="25"/>
      <c r="C660" s="121"/>
      <c r="D660" s="121"/>
      <c r="E660" s="121"/>
      <c r="F660" s="121"/>
      <c r="G660" s="121"/>
      <c r="H660" s="121"/>
      <c r="I660" s="121"/>
      <c r="J660" s="121"/>
      <c r="K660" s="121"/>
      <c r="L660" s="121"/>
      <c r="M660" s="122"/>
      <c r="N660" s="25"/>
    </row>
    <row r="661">
      <c r="A661" s="25"/>
      <c r="B661" s="25"/>
      <c r="C661" s="121"/>
      <c r="D661" s="121"/>
      <c r="E661" s="121"/>
      <c r="F661" s="121"/>
      <c r="G661" s="121"/>
      <c r="H661" s="121"/>
      <c r="I661" s="121"/>
      <c r="J661" s="121"/>
      <c r="K661" s="121"/>
      <c r="L661" s="121"/>
      <c r="M661" s="122"/>
      <c r="N661" s="25"/>
    </row>
    <row r="662">
      <c r="A662" s="25"/>
      <c r="B662" s="25"/>
      <c r="C662" s="121"/>
      <c r="D662" s="121"/>
      <c r="E662" s="121"/>
      <c r="F662" s="121"/>
      <c r="G662" s="121"/>
      <c r="H662" s="121"/>
      <c r="I662" s="121"/>
      <c r="J662" s="121"/>
      <c r="K662" s="121"/>
      <c r="L662" s="121"/>
      <c r="M662" s="122"/>
      <c r="N662" s="25"/>
    </row>
    <row r="663">
      <c r="A663" s="25"/>
      <c r="B663" s="25"/>
      <c r="C663" s="121"/>
      <c r="D663" s="121"/>
      <c r="E663" s="121"/>
      <c r="F663" s="121"/>
      <c r="G663" s="121"/>
      <c r="H663" s="121"/>
      <c r="I663" s="121"/>
      <c r="J663" s="121"/>
      <c r="K663" s="121"/>
      <c r="L663" s="121"/>
      <c r="M663" s="122"/>
      <c r="N663" s="25"/>
    </row>
    <row r="664">
      <c r="A664" s="25"/>
      <c r="B664" s="25"/>
      <c r="C664" s="121"/>
      <c r="D664" s="121"/>
      <c r="E664" s="121"/>
      <c r="F664" s="121"/>
      <c r="G664" s="121"/>
      <c r="H664" s="121"/>
      <c r="I664" s="121"/>
      <c r="J664" s="121"/>
      <c r="K664" s="121"/>
      <c r="L664" s="121"/>
      <c r="M664" s="122"/>
      <c r="N664" s="25"/>
    </row>
    <row r="665">
      <c r="A665" s="25"/>
      <c r="B665" s="25"/>
      <c r="C665" s="121"/>
      <c r="D665" s="121"/>
      <c r="E665" s="121"/>
      <c r="F665" s="121"/>
      <c r="G665" s="121"/>
      <c r="H665" s="121"/>
      <c r="I665" s="121"/>
      <c r="J665" s="121"/>
      <c r="K665" s="121"/>
      <c r="L665" s="121"/>
      <c r="M665" s="122"/>
      <c r="N665" s="25"/>
    </row>
    <row r="666">
      <c r="A666" s="25"/>
      <c r="B666" s="25"/>
      <c r="C666" s="121"/>
      <c r="D666" s="121"/>
      <c r="E666" s="121"/>
      <c r="F666" s="121"/>
      <c r="G666" s="121"/>
      <c r="H666" s="121"/>
      <c r="I666" s="121"/>
      <c r="J666" s="121"/>
      <c r="K666" s="121"/>
      <c r="L666" s="121"/>
      <c r="M666" s="122"/>
      <c r="N666" s="25"/>
    </row>
    <row r="667">
      <c r="A667" s="25"/>
      <c r="B667" s="25"/>
      <c r="C667" s="121"/>
      <c r="D667" s="121"/>
      <c r="E667" s="121"/>
      <c r="F667" s="121"/>
      <c r="G667" s="121"/>
      <c r="H667" s="121"/>
      <c r="I667" s="121"/>
      <c r="J667" s="121"/>
      <c r="K667" s="121"/>
      <c r="L667" s="121"/>
      <c r="M667" s="122"/>
      <c r="N667" s="25"/>
    </row>
    <row r="668">
      <c r="A668" s="25"/>
      <c r="B668" s="25"/>
      <c r="C668" s="121"/>
      <c r="D668" s="121"/>
      <c r="E668" s="121"/>
      <c r="F668" s="121"/>
      <c r="G668" s="121"/>
      <c r="H668" s="121"/>
      <c r="I668" s="121"/>
      <c r="J668" s="121"/>
      <c r="K668" s="121"/>
      <c r="L668" s="121"/>
      <c r="M668" s="122"/>
      <c r="N668" s="25"/>
    </row>
    <row r="669">
      <c r="A669" s="25"/>
      <c r="B669" s="25"/>
      <c r="C669" s="121"/>
      <c r="D669" s="121"/>
      <c r="E669" s="121"/>
      <c r="F669" s="121"/>
      <c r="G669" s="121"/>
      <c r="H669" s="121"/>
      <c r="I669" s="121"/>
      <c r="J669" s="121"/>
      <c r="K669" s="121"/>
      <c r="L669" s="121"/>
      <c r="M669" s="122"/>
      <c r="N669" s="25"/>
    </row>
    <row r="670">
      <c r="A670" s="25"/>
      <c r="B670" s="25"/>
      <c r="C670" s="121"/>
      <c r="D670" s="121"/>
      <c r="E670" s="121"/>
      <c r="F670" s="121"/>
      <c r="G670" s="121"/>
      <c r="H670" s="121"/>
      <c r="I670" s="121"/>
      <c r="J670" s="121"/>
      <c r="K670" s="121"/>
      <c r="L670" s="121"/>
      <c r="M670" s="122"/>
      <c r="N670" s="25"/>
    </row>
    <row r="671">
      <c r="A671" s="25"/>
      <c r="B671" s="25"/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2"/>
      <c r="N671" s="25"/>
    </row>
    <row r="672">
      <c r="A672" s="25"/>
      <c r="B672" s="25"/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2"/>
      <c r="N672" s="25"/>
    </row>
    <row r="673">
      <c r="A673" s="25"/>
      <c r="B673" s="25"/>
      <c r="C673" s="121"/>
      <c r="D673" s="121"/>
      <c r="E673" s="121"/>
      <c r="F673" s="121"/>
      <c r="G673" s="121"/>
      <c r="H673" s="121"/>
      <c r="I673" s="121"/>
      <c r="J673" s="121"/>
      <c r="K673" s="121"/>
      <c r="L673" s="121"/>
      <c r="M673" s="122"/>
      <c r="N673" s="25"/>
    </row>
    <row r="674">
      <c r="A674" s="25"/>
      <c r="B674" s="25"/>
      <c r="C674" s="121"/>
      <c r="D674" s="121"/>
      <c r="E674" s="121"/>
      <c r="F674" s="121"/>
      <c r="G674" s="121"/>
      <c r="H674" s="121"/>
      <c r="I674" s="121"/>
      <c r="J674" s="121"/>
      <c r="K674" s="121"/>
      <c r="L674" s="121"/>
      <c r="M674" s="122"/>
      <c r="N674" s="25"/>
    </row>
    <row r="675">
      <c r="A675" s="25"/>
      <c r="B675" s="25"/>
      <c r="C675" s="121"/>
      <c r="D675" s="121"/>
      <c r="E675" s="121"/>
      <c r="F675" s="121"/>
      <c r="G675" s="121"/>
      <c r="H675" s="121"/>
      <c r="I675" s="121"/>
      <c r="J675" s="121"/>
      <c r="K675" s="121"/>
      <c r="L675" s="121"/>
      <c r="M675" s="122"/>
      <c r="N675" s="25"/>
    </row>
    <row r="676">
      <c r="A676" s="25"/>
      <c r="B676" s="25"/>
      <c r="C676" s="121"/>
      <c r="D676" s="121"/>
      <c r="E676" s="121"/>
      <c r="F676" s="121"/>
      <c r="G676" s="121"/>
      <c r="H676" s="121"/>
      <c r="I676" s="121"/>
      <c r="J676" s="121"/>
      <c r="K676" s="121"/>
      <c r="L676" s="121"/>
      <c r="M676" s="122"/>
      <c r="N676" s="25"/>
    </row>
    <row r="677">
      <c r="A677" s="25"/>
      <c r="B677" s="25"/>
      <c r="C677" s="121"/>
      <c r="D677" s="121"/>
      <c r="E677" s="121"/>
      <c r="F677" s="121"/>
      <c r="G677" s="121"/>
      <c r="H677" s="121"/>
      <c r="I677" s="121"/>
      <c r="J677" s="121"/>
      <c r="K677" s="121"/>
      <c r="L677" s="121"/>
      <c r="M677" s="122"/>
      <c r="N677" s="25"/>
    </row>
    <row r="678">
      <c r="A678" s="25"/>
      <c r="B678" s="25"/>
      <c r="C678" s="121"/>
      <c r="D678" s="121"/>
      <c r="E678" s="121"/>
      <c r="F678" s="121"/>
      <c r="G678" s="121"/>
      <c r="H678" s="121"/>
      <c r="I678" s="121"/>
      <c r="J678" s="121"/>
      <c r="K678" s="121"/>
      <c r="L678" s="121"/>
      <c r="M678" s="122"/>
      <c r="N678" s="25"/>
    </row>
    <row r="679">
      <c r="A679" s="25"/>
      <c r="B679" s="25"/>
      <c r="C679" s="121"/>
      <c r="D679" s="121"/>
      <c r="E679" s="121"/>
      <c r="F679" s="121"/>
      <c r="G679" s="121"/>
      <c r="H679" s="121"/>
      <c r="I679" s="121"/>
      <c r="J679" s="121"/>
      <c r="K679" s="121"/>
      <c r="L679" s="121"/>
      <c r="M679" s="122"/>
      <c r="N679" s="25"/>
    </row>
    <row r="680">
      <c r="A680" s="25"/>
      <c r="B680" s="25"/>
      <c r="C680" s="121"/>
      <c r="D680" s="121"/>
      <c r="E680" s="121"/>
      <c r="F680" s="121"/>
      <c r="G680" s="121"/>
      <c r="H680" s="121"/>
      <c r="I680" s="121"/>
      <c r="J680" s="121"/>
      <c r="K680" s="121"/>
      <c r="L680" s="121"/>
      <c r="M680" s="122"/>
      <c r="N680" s="25"/>
    </row>
    <row r="681">
      <c r="A681" s="25"/>
      <c r="B681" s="25"/>
      <c r="C681" s="121"/>
      <c r="D681" s="121"/>
      <c r="E681" s="121"/>
      <c r="F681" s="121"/>
      <c r="G681" s="121"/>
      <c r="H681" s="121"/>
      <c r="I681" s="121"/>
      <c r="J681" s="121"/>
      <c r="K681" s="121"/>
      <c r="L681" s="121"/>
      <c r="M681" s="122"/>
      <c r="N681" s="25"/>
    </row>
    <row r="682">
      <c r="A682" s="25"/>
      <c r="B682" s="25"/>
      <c r="C682" s="121"/>
      <c r="D682" s="121"/>
      <c r="E682" s="121"/>
      <c r="F682" s="121"/>
      <c r="G682" s="121"/>
      <c r="H682" s="121"/>
      <c r="I682" s="121"/>
      <c r="J682" s="121"/>
      <c r="K682" s="121"/>
      <c r="L682" s="121"/>
      <c r="M682" s="122"/>
      <c r="N682" s="25"/>
    </row>
    <row r="683">
      <c r="A683" s="25"/>
      <c r="B683" s="25"/>
      <c r="C683" s="121"/>
      <c r="D683" s="121"/>
      <c r="E683" s="121"/>
      <c r="F683" s="121"/>
      <c r="G683" s="121"/>
      <c r="H683" s="121"/>
      <c r="I683" s="121"/>
      <c r="J683" s="121"/>
      <c r="K683" s="121"/>
      <c r="L683" s="121"/>
      <c r="M683" s="122"/>
      <c r="N683" s="25"/>
    </row>
    <row r="684">
      <c r="A684" s="25"/>
      <c r="B684" s="25"/>
      <c r="C684" s="121"/>
      <c r="D684" s="121"/>
      <c r="E684" s="121"/>
      <c r="F684" s="121"/>
      <c r="G684" s="121"/>
      <c r="H684" s="121"/>
      <c r="I684" s="121"/>
      <c r="J684" s="121"/>
      <c r="K684" s="121"/>
      <c r="L684" s="121"/>
      <c r="M684" s="122"/>
      <c r="N684" s="25"/>
    </row>
    <row r="685">
      <c r="A685" s="25"/>
      <c r="B685" s="25"/>
      <c r="C685" s="121"/>
      <c r="D685" s="121"/>
      <c r="E685" s="121"/>
      <c r="F685" s="121"/>
      <c r="G685" s="121"/>
      <c r="H685" s="121"/>
      <c r="I685" s="121"/>
      <c r="J685" s="121"/>
      <c r="K685" s="121"/>
      <c r="L685" s="121"/>
      <c r="M685" s="122"/>
      <c r="N685" s="25"/>
    </row>
    <row r="686">
      <c r="A686" s="25"/>
      <c r="B686" s="25"/>
      <c r="C686" s="121"/>
      <c r="D686" s="121"/>
      <c r="E686" s="121"/>
      <c r="F686" s="121"/>
      <c r="G686" s="121"/>
      <c r="H686" s="121"/>
      <c r="I686" s="121"/>
      <c r="J686" s="121"/>
      <c r="K686" s="121"/>
      <c r="L686" s="121"/>
      <c r="M686" s="122"/>
      <c r="N686" s="25"/>
    </row>
    <row r="687">
      <c r="A687" s="25"/>
      <c r="B687" s="25"/>
      <c r="C687" s="121"/>
      <c r="D687" s="121"/>
      <c r="E687" s="121"/>
      <c r="F687" s="121"/>
      <c r="G687" s="121"/>
      <c r="H687" s="121"/>
      <c r="I687" s="121"/>
      <c r="J687" s="121"/>
      <c r="K687" s="121"/>
      <c r="L687" s="121"/>
      <c r="M687" s="122"/>
      <c r="N687" s="25"/>
    </row>
    <row r="688">
      <c r="A688" s="25"/>
      <c r="B688" s="25"/>
      <c r="C688" s="121"/>
      <c r="D688" s="121"/>
      <c r="E688" s="121"/>
      <c r="F688" s="121"/>
      <c r="G688" s="121"/>
      <c r="H688" s="121"/>
      <c r="I688" s="121"/>
      <c r="J688" s="121"/>
      <c r="K688" s="121"/>
      <c r="L688" s="121"/>
      <c r="M688" s="122"/>
      <c r="N688" s="25"/>
    </row>
    <row r="689">
      <c r="A689" s="25"/>
      <c r="B689" s="25"/>
      <c r="C689" s="121"/>
      <c r="D689" s="121"/>
      <c r="E689" s="121"/>
      <c r="F689" s="121"/>
      <c r="G689" s="121"/>
      <c r="H689" s="121"/>
      <c r="I689" s="121"/>
      <c r="J689" s="121"/>
      <c r="K689" s="121"/>
      <c r="L689" s="121"/>
      <c r="M689" s="122"/>
      <c r="N689" s="25"/>
    </row>
    <row r="690">
      <c r="A690" s="25"/>
      <c r="B690" s="25"/>
      <c r="C690" s="121"/>
      <c r="D690" s="121"/>
      <c r="E690" s="121"/>
      <c r="F690" s="121"/>
      <c r="G690" s="121"/>
      <c r="H690" s="121"/>
      <c r="I690" s="121"/>
      <c r="J690" s="121"/>
      <c r="K690" s="121"/>
      <c r="L690" s="121"/>
      <c r="M690" s="122"/>
      <c r="N690" s="25"/>
    </row>
    <row r="691">
      <c r="A691" s="25"/>
      <c r="B691" s="25"/>
      <c r="C691" s="121"/>
      <c r="D691" s="121"/>
      <c r="E691" s="121"/>
      <c r="F691" s="121"/>
      <c r="G691" s="121"/>
      <c r="H691" s="121"/>
      <c r="I691" s="121"/>
      <c r="J691" s="121"/>
      <c r="K691" s="121"/>
      <c r="L691" s="121"/>
      <c r="M691" s="122"/>
      <c r="N691" s="25"/>
    </row>
    <row r="692">
      <c r="A692" s="25"/>
      <c r="B692" s="25"/>
      <c r="C692" s="121"/>
      <c r="D692" s="121"/>
      <c r="E692" s="121"/>
      <c r="F692" s="121"/>
      <c r="G692" s="121"/>
      <c r="H692" s="121"/>
      <c r="I692" s="121"/>
      <c r="J692" s="121"/>
      <c r="K692" s="121"/>
      <c r="L692" s="121"/>
      <c r="M692" s="122"/>
      <c r="N692" s="25"/>
    </row>
    <row r="693">
      <c r="A693" s="25"/>
      <c r="B693" s="25"/>
      <c r="C693" s="121"/>
      <c r="D693" s="121"/>
      <c r="E693" s="121"/>
      <c r="F693" s="121"/>
      <c r="G693" s="121"/>
      <c r="H693" s="121"/>
      <c r="I693" s="121"/>
      <c r="J693" s="121"/>
      <c r="K693" s="121"/>
      <c r="L693" s="121"/>
      <c r="M693" s="122"/>
      <c r="N693" s="25"/>
    </row>
    <row r="694">
      <c r="A694" s="25"/>
      <c r="B694" s="25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2"/>
      <c r="N694" s="25"/>
    </row>
    <row r="695">
      <c r="A695" s="25"/>
      <c r="B695" s="25"/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2"/>
      <c r="N695" s="25"/>
    </row>
    <row r="696">
      <c r="A696" s="25"/>
      <c r="B696" s="25"/>
      <c r="C696" s="121"/>
      <c r="D696" s="121"/>
      <c r="E696" s="121"/>
      <c r="F696" s="121"/>
      <c r="G696" s="121"/>
      <c r="H696" s="121"/>
      <c r="I696" s="121"/>
      <c r="J696" s="121"/>
      <c r="K696" s="121"/>
      <c r="L696" s="121"/>
      <c r="M696" s="122"/>
      <c r="N696" s="25"/>
    </row>
    <row r="697">
      <c r="A697" s="25"/>
      <c r="B697" s="25"/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2"/>
      <c r="N697" s="25"/>
    </row>
    <row r="698">
      <c r="A698" s="25"/>
      <c r="B698" s="25"/>
      <c r="C698" s="121"/>
      <c r="D698" s="121"/>
      <c r="E698" s="121"/>
      <c r="F698" s="121"/>
      <c r="G698" s="121"/>
      <c r="H698" s="121"/>
      <c r="I698" s="121"/>
      <c r="J698" s="121"/>
      <c r="K698" s="121"/>
      <c r="L698" s="121"/>
      <c r="M698" s="122"/>
      <c r="N698" s="25"/>
    </row>
    <row r="699">
      <c r="A699" s="25"/>
      <c r="B699" s="25"/>
      <c r="C699" s="121"/>
      <c r="D699" s="121"/>
      <c r="E699" s="121"/>
      <c r="F699" s="121"/>
      <c r="G699" s="121"/>
      <c r="H699" s="121"/>
      <c r="I699" s="121"/>
      <c r="J699" s="121"/>
      <c r="K699" s="121"/>
      <c r="L699" s="121"/>
      <c r="M699" s="122"/>
      <c r="N699" s="25"/>
    </row>
    <row r="700">
      <c r="A700" s="25"/>
      <c r="B700" s="25"/>
      <c r="C700" s="121"/>
      <c r="D700" s="121"/>
      <c r="E700" s="121"/>
      <c r="F700" s="121"/>
      <c r="G700" s="121"/>
      <c r="H700" s="121"/>
      <c r="I700" s="121"/>
      <c r="J700" s="121"/>
      <c r="K700" s="121"/>
      <c r="L700" s="121"/>
      <c r="M700" s="122"/>
      <c r="N700" s="25"/>
    </row>
    <row r="701">
      <c r="A701" s="25"/>
      <c r="B701" s="25"/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2"/>
      <c r="N701" s="25"/>
    </row>
    <row r="702">
      <c r="A702" s="25"/>
      <c r="B702" s="25"/>
      <c r="C702" s="121"/>
      <c r="D702" s="121"/>
      <c r="E702" s="121"/>
      <c r="F702" s="121"/>
      <c r="G702" s="121"/>
      <c r="H702" s="121"/>
      <c r="I702" s="121"/>
      <c r="J702" s="121"/>
      <c r="K702" s="121"/>
      <c r="L702" s="121"/>
      <c r="M702" s="122"/>
      <c r="N702" s="25"/>
    </row>
    <row r="703">
      <c r="A703" s="25"/>
      <c r="B703" s="25"/>
      <c r="C703" s="121"/>
      <c r="D703" s="121"/>
      <c r="E703" s="121"/>
      <c r="F703" s="121"/>
      <c r="G703" s="121"/>
      <c r="H703" s="121"/>
      <c r="I703" s="121"/>
      <c r="J703" s="121"/>
      <c r="K703" s="121"/>
      <c r="L703" s="121"/>
      <c r="M703" s="122"/>
      <c r="N703" s="25"/>
    </row>
    <row r="704">
      <c r="A704" s="25"/>
      <c r="B704" s="25"/>
      <c r="C704" s="121"/>
      <c r="D704" s="121"/>
      <c r="E704" s="121"/>
      <c r="F704" s="121"/>
      <c r="G704" s="121"/>
      <c r="H704" s="121"/>
      <c r="I704" s="121"/>
      <c r="J704" s="121"/>
      <c r="K704" s="121"/>
      <c r="L704" s="121"/>
      <c r="M704" s="122"/>
      <c r="N704" s="25"/>
    </row>
    <row r="705">
      <c r="A705" s="25"/>
      <c r="B705" s="25"/>
      <c r="C705" s="121"/>
      <c r="D705" s="121"/>
      <c r="E705" s="121"/>
      <c r="F705" s="121"/>
      <c r="G705" s="121"/>
      <c r="H705" s="121"/>
      <c r="I705" s="121"/>
      <c r="J705" s="121"/>
      <c r="K705" s="121"/>
      <c r="L705" s="121"/>
      <c r="M705" s="122"/>
      <c r="N705" s="25"/>
    </row>
    <row r="706">
      <c r="A706" s="25"/>
      <c r="B706" s="25"/>
      <c r="C706" s="121"/>
      <c r="D706" s="121"/>
      <c r="E706" s="121"/>
      <c r="F706" s="121"/>
      <c r="G706" s="121"/>
      <c r="H706" s="121"/>
      <c r="I706" s="121"/>
      <c r="J706" s="121"/>
      <c r="K706" s="121"/>
      <c r="L706" s="121"/>
      <c r="M706" s="122"/>
      <c r="N706" s="25"/>
    </row>
    <row r="707">
      <c r="A707" s="25"/>
      <c r="B707" s="25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2"/>
      <c r="N707" s="25"/>
    </row>
    <row r="708">
      <c r="A708" s="25"/>
      <c r="B708" s="25"/>
      <c r="C708" s="121"/>
      <c r="D708" s="121"/>
      <c r="E708" s="121"/>
      <c r="F708" s="121"/>
      <c r="G708" s="121"/>
      <c r="H708" s="121"/>
      <c r="I708" s="121"/>
      <c r="J708" s="121"/>
      <c r="K708" s="121"/>
      <c r="L708" s="121"/>
      <c r="M708" s="122"/>
      <c r="N708" s="25"/>
    </row>
    <row r="709">
      <c r="A709" s="25"/>
      <c r="B709" s="25"/>
      <c r="C709" s="121"/>
      <c r="D709" s="121"/>
      <c r="E709" s="121"/>
      <c r="F709" s="121"/>
      <c r="G709" s="121"/>
      <c r="H709" s="121"/>
      <c r="I709" s="121"/>
      <c r="J709" s="121"/>
      <c r="K709" s="121"/>
      <c r="L709" s="121"/>
      <c r="M709" s="122"/>
      <c r="N709" s="25"/>
    </row>
    <row r="710">
      <c r="A710" s="25"/>
      <c r="B710" s="25"/>
      <c r="C710" s="121"/>
      <c r="D710" s="121"/>
      <c r="E710" s="121"/>
      <c r="F710" s="121"/>
      <c r="G710" s="121"/>
      <c r="H710" s="121"/>
      <c r="I710" s="121"/>
      <c r="J710" s="121"/>
      <c r="K710" s="121"/>
      <c r="L710" s="121"/>
      <c r="M710" s="122"/>
      <c r="N710" s="25"/>
    </row>
    <row r="711">
      <c r="A711" s="25"/>
      <c r="B711" s="25"/>
      <c r="C711" s="121"/>
      <c r="D711" s="121"/>
      <c r="E711" s="121"/>
      <c r="F711" s="121"/>
      <c r="G711" s="121"/>
      <c r="H711" s="121"/>
      <c r="I711" s="121"/>
      <c r="J711" s="121"/>
      <c r="K711" s="121"/>
      <c r="L711" s="121"/>
      <c r="M711" s="122"/>
      <c r="N711" s="25"/>
    </row>
    <row r="712">
      <c r="A712" s="25"/>
      <c r="B712" s="25"/>
      <c r="C712" s="121"/>
      <c r="D712" s="121"/>
      <c r="E712" s="121"/>
      <c r="F712" s="121"/>
      <c r="G712" s="121"/>
      <c r="H712" s="121"/>
      <c r="I712" s="121"/>
      <c r="J712" s="121"/>
      <c r="K712" s="121"/>
      <c r="L712" s="121"/>
      <c r="M712" s="122"/>
      <c r="N712" s="25"/>
    </row>
    <row r="713">
      <c r="A713" s="25"/>
      <c r="B713" s="25"/>
      <c r="C713" s="121"/>
      <c r="D713" s="121"/>
      <c r="E713" s="121"/>
      <c r="F713" s="121"/>
      <c r="G713" s="121"/>
      <c r="H713" s="121"/>
      <c r="I713" s="121"/>
      <c r="J713" s="121"/>
      <c r="K713" s="121"/>
      <c r="L713" s="121"/>
      <c r="M713" s="122"/>
      <c r="N713" s="25"/>
    </row>
    <row r="714">
      <c r="A714" s="25"/>
      <c r="B714" s="25"/>
      <c r="C714" s="121"/>
      <c r="D714" s="121"/>
      <c r="E714" s="121"/>
      <c r="F714" s="121"/>
      <c r="G714" s="121"/>
      <c r="H714" s="121"/>
      <c r="I714" s="121"/>
      <c r="J714" s="121"/>
      <c r="K714" s="121"/>
      <c r="L714" s="121"/>
      <c r="M714" s="122"/>
      <c r="N714" s="25"/>
    </row>
    <row r="715">
      <c r="A715" s="25"/>
      <c r="B715" s="25"/>
      <c r="C715" s="121"/>
      <c r="D715" s="121"/>
      <c r="E715" s="121"/>
      <c r="F715" s="121"/>
      <c r="G715" s="121"/>
      <c r="H715" s="121"/>
      <c r="I715" s="121"/>
      <c r="J715" s="121"/>
      <c r="K715" s="121"/>
      <c r="L715" s="121"/>
      <c r="M715" s="122"/>
      <c r="N715" s="25"/>
    </row>
    <row r="716">
      <c r="A716" s="25"/>
      <c r="B716" s="25"/>
      <c r="C716" s="121"/>
      <c r="D716" s="121"/>
      <c r="E716" s="121"/>
      <c r="F716" s="121"/>
      <c r="G716" s="121"/>
      <c r="H716" s="121"/>
      <c r="I716" s="121"/>
      <c r="J716" s="121"/>
      <c r="K716" s="121"/>
      <c r="L716" s="121"/>
      <c r="M716" s="122"/>
      <c r="N716" s="25"/>
    </row>
    <row r="717">
      <c r="A717" s="25"/>
      <c r="B717" s="25"/>
      <c r="C717" s="121"/>
      <c r="D717" s="121"/>
      <c r="E717" s="121"/>
      <c r="F717" s="121"/>
      <c r="G717" s="121"/>
      <c r="H717" s="121"/>
      <c r="I717" s="121"/>
      <c r="J717" s="121"/>
      <c r="K717" s="121"/>
      <c r="L717" s="121"/>
      <c r="M717" s="122"/>
      <c r="N717" s="25"/>
    </row>
    <row r="718">
      <c r="A718" s="25"/>
      <c r="B718" s="25"/>
      <c r="C718" s="121"/>
      <c r="D718" s="121"/>
      <c r="E718" s="121"/>
      <c r="F718" s="121"/>
      <c r="G718" s="121"/>
      <c r="H718" s="121"/>
      <c r="I718" s="121"/>
      <c r="J718" s="121"/>
      <c r="K718" s="121"/>
      <c r="L718" s="121"/>
      <c r="M718" s="122"/>
      <c r="N718" s="25"/>
    </row>
    <row r="719">
      <c r="A719" s="25"/>
      <c r="B719" s="25"/>
      <c r="C719" s="121"/>
      <c r="D719" s="121"/>
      <c r="E719" s="121"/>
      <c r="F719" s="121"/>
      <c r="G719" s="121"/>
      <c r="H719" s="121"/>
      <c r="I719" s="121"/>
      <c r="J719" s="121"/>
      <c r="K719" s="121"/>
      <c r="L719" s="121"/>
      <c r="M719" s="122"/>
      <c r="N719" s="25"/>
    </row>
    <row r="720">
      <c r="A720" s="25"/>
      <c r="B720" s="25"/>
      <c r="C720" s="121"/>
      <c r="D720" s="121"/>
      <c r="E720" s="121"/>
      <c r="F720" s="121"/>
      <c r="G720" s="121"/>
      <c r="H720" s="121"/>
      <c r="I720" s="121"/>
      <c r="J720" s="121"/>
      <c r="K720" s="121"/>
      <c r="L720" s="121"/>
      <c r="M720" s="122"/>
      <c r="N720" s="25"/>
    </row>
    <row r="721">
      <c r="A721" s="25"/>
      <c r="B721" s="25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2"/>
      <c r="N721" s="25"/>
    </row>
    <row r="722">
      <c r="A722" s="25"/>
      <c r="B722" s="25"/>
      <c r="C722" s="121"/>
      <c r="D722" s="121"/>
      <c r="E722" s="121"/>
      <c r="F722" s="121"/>
      <c r="G722" s="121"/>
      <c r="H722" s="121"/>
      <c r="I722" s="121"/>
      <c r="J722" s="121"/>
      <c r="K722" s="121"/>
      <c r="L722" s="121"/>
      <c r="M722" s="122"/>
      <c r="N722" s="25"/>
    </row>
    <row r="723">
      <c r="A723" s="25"/>
      <c r="B723" s="25"/>
      <c r="C723" s="121"/>
      <c r="D723" s="121"/>
      <c r="E723" s="121"/>
      <c r="F723" s="121"/>
      <c r="G723" s="121"/>
      <c r="H723" s="121"/>
      <c r="I723" s="121"/>
      <c r="J723" s="121"/>
      <c r="K723" s="121"/>
      <c r="L723" s="121"/>
      <c r="M723" s="122"/>
      <c r="N723" s="25"/>
    </row>
    <row r="724">
      <c r="A724" s="25"/>
      <c r="B724" s="25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2"/>
      <c r="N724" s="25"/>
    </row>
    <row r="725">
      <c r="A725" s="25"/>
      <c r="B725" s="25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2"/>
      <c r="N725" s="25"/>
    </row>
    <row r="726">
      <c r="A726" s="25"/>
      <c r="B726" s="25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2"/>
      <c r="N726" s="25"/>
    </row>
    <row r="727">
      <c r="A727" s="25"/>
      <c r="B727" s="25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2"/>
      <c r="N727" s="25"/>
    </row>
    <row r="728">
      <c r="A728" s="25"/>
      <c r="B728" s="25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2"/>
      <c r="N728" s="25"/>
    </row>
    <row r="729">
      <c r="A729" s="25"/>
      <c r="B729" s="25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2"/>
      <c r="N729" s="25"/>
    </row>
    <row r="730">
      <c r="A730" s="25"/>
      <c r="B730" s="25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2"/>
      <c r="N730" s="25"/>
    </row>
    <row r="731">
      <c r="A731" s="25"/>
      <c r="B731" s="25"/>
      <c r="C731" s="121"/>
      <c r="D731" s="121"/>
      <c r="E731" s="121"/>
      <c r="F731" s="121"/>
      <c r="G731" s="121"/>
      <c r="H731" s="121"/>
      <c r="I731" s="121"/>
      <c r="J731" s="121"/>
      <c r="K731" s="121"/>
      <c r="L731" s="121"/>
      <c r="M731" s="122"/>
      <c r="N731" s="25"/>
    </row>
    <row r="732">
      <c r="A732" s="25"/>
      <c r="B732" s="25"/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2"/>
      <c r="N732" s="25"/>
    </row>
    <row r="733">
      <c r="A733" s="25"/>
      <c r="B733" s="25"/>
      <c r="C733" s="121"/>
      <c r="D733" s="121"/>
      <c r="E733" s="121"/>
      <c r="F733" s="121"/>
      <c r="G733" s="121"/>
      <c r="H733" s="121"/>
      <c r="I733" s="121"/>
      <c r="J733" s="121"/>
      <c r="K733" s="121"/>
      <c r="L733" s="121"/>
      <c r="M733" s="122"/>
      <c r="N733" s="25"/>
    </row>
    <row r="734">
      <c r="A734" s="25"/>
      <c r="B734" s="25"/>
      <c r="C734" s="121"/>
      <c r="D734" s="121"/>
      <c r="E734" s="121"/>
      <c r="F734" s="121"/>
      <c r="G734" s="121"/>
      <c r="H734" s="121"/>
      <c r="I734" s="121"/>
      <c r="J734" s="121"/>
      <c r="K734" s="121"/>
      <c r="L734" s="121"/>
      <c r="M734" s="122"/>
      <c r="N734" s="25"/>
    </row>
    <row r="735">
      <c r="A735" s="25"/>
      <c r="B735" s="25"/>
      <c r="C735" s="121"/>
      <c r="D735" s="121"/>
      <c r="E735" s="121"/>
      <c r="F735" s="121"/>
      <c r="G735" s="121"/>
      <c r="H735" s="121"/>
      <c r="I735" s="121"/>
      <c r="J735" s="121"/>
      <c r="K735" s="121"/>
      <c r="L735" s="121"/>
      <c r="M735" s="122"/>
      <c r="N735" s="25"/>
    </row>
    <row r="736">
      <c r="A736" s="25"/>
      <c r="B736" s="25"/>
      <c r="C736" s="121"/>
      <c r="D736" s="121"/>
      <c r="E736" s="121"/>
      <c r="F736" s="121"/>
      <c r="G736" s="121"/>
      <c r="H736" s="121"/>
      <c r="I736" s="121"/>
      <c r="J736" s="121"/>
      <c r="K736" s="121"/>
      <c r="L736" s="121"/>
      <c r="M736" s="122"/>
      <c r="N736" s="25"/>
    </row>
    <row r="737">
      <c r="A737" s="25"/>
      <c r="B737" s="25"/>
      <c r="C737" s="121"/>
      <c r="D737" s="121"/>
      <c r="E737" s="121"/>
      <c r="F737" s="121"/>
      <c r="G737" s="121"/>
      <c r="H737" s="121"/>
      <c r="I737" s="121"/>
      <c r="J737" s="121"/>
      <c r="K737" s="121"/>
      <c r="L737" s="121"/>
      <c r="M737" s="122"/>
      <c r="N737" s="25"/>
    </row>
    <row r="738">
      <c r="A738" s="25"/>
      <c r="B738" s="25"/>
      <c r="C738" s="121"/>
      <c r="D738" s="121"/>
      <c r="E738" s="121"/>
      <c r="F738" s="121"/>
      <c r="G738" s="121"/>
      <c r="H738" s="121"/>
      <c r="I738" s="121"/>
      <c r="J738" s="121"/>
      <c r="K738" s="121"/>
      <c r="L738" s="121"/>
      <c r="M738" s="122"/>
      <c r="N738" s="25"/>
    </row>
    <row r="739">
      <c r="A739" s="25"/>
      <c r="B739" s="25"/>
      <c r="C739" s="121"/>
      <c r="D739" s="121"/>
      <c r="E739" s="121"/>
      <c r="F739" s="121"/>
      <c r="G739" s="121"/>
      <c r="H739" s="121"/>
      <c r="I739" s="121"/>
      <c r="J739" s="121"/>
      <c r="K739" s="121"/>
      <c r="L739" s="121"/>
      <c r="M739" s="122"/>
      <c r="N739" s="25"/>
    </row>
    <row r="740">
      <c r="A740" s="25"/>
      <c r="B740" s="25"/>
      <c r="C740" s="121"/>
      <c r="D740" s="121"/>
      <c r="E740" s="121"/>
      <c r="F740" s="121"/>
      <c r="G740" s="121"/>
      <c r="H740" s="121"/>
      <c r="I740" s="121"/>
      <c r="J740" s="121"/>
      <c r="K740" s="121"/>
      <c r="L740" s="121"/>
      <c r="M740" s="122"/>
      <c r="N740" s="25"/>
    </row>
    <row r="741">
      <c r="A741" s="25"/>
      <c r="B741" s="25"/>
      <c r="C741" s="121"/>
      <c r="D741" s="121"/>
      <c r="E741" s="121"/>
      <c r="F741" s="121"/>
      <c r="G741" s="121"/>
      <c r="H741" s="121"/>
      <c r="I741" s="121"/>
      <c r="J741" s="121"/>
      <c r="K741" s="121"/>
      <c r="L741" s="121"/>
      <c r="M741" s="122"/>
      <c r="N741" s="25"/>
    </row>
    <row r="742">
      <c r="A742" s="25"/>
      <c r="B742" s="25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2"/>
      <c r="N742" s="25"/>
    </row>
    <row r="743">
      <c r="A743" s="25"/>
      <c r="B743" s="25"/>
      <c r="C743" s="121"/>
      <c r="D743" s="121"/>
      <c r="E743" s="121"/>
      <c r="F743" s="121"/>
      <c r="G743" s="121"/>
      <c r="H743" s="121"/>
      <c r="I743" s="121"/>
      <c r="J743" s="121"/>
      <c r="K743" s="121"/>
      <c r="L743" s="121"/>
      <c r="M743" s="122"/>
      <c r="N743" s="25"/>
    </row>
    <row r="744">
      <c r="A744" s="25"/>
      <c r="B744" s="25"/>
      <c r="C744" s="121"/>
      <c r="D744" s="121"/>
      <c r="E744" s="121"/>
      <c r="F744" s="121"/>
      <c r="G744" s="121"/>
      <c r="H744" s="121"/>
      <c r="I744" s="121"/>
      <c r="J744" s="121"/>
      <c r="K744" s="121"/>
      <c r="L744" s="121"/>
      <c r="M744" s="122"/>
      <c r="N744" s="25"/>
    </row>
    <row r="745">
      <c r="A745" s="25"/>
      <c r="B745" s="25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2"/>
      <c r="N745" s="25"/>
    </row>
    <row r="746">
      <c r="A746" s="25"/>
      <c r="B746" s="25"/>
      <c r="C746" s="121"/>
      <c r="D746" s="121"/>
      <c r="E746" s="121"/>
      <c r="F746" s="121"/>
      <c r="G746" s="121"/>
      <c r="H746" s="121"/>
      <c r="I746" s="121"/>
      <c r="J746" s="121"/>
      <c r="K746" s="121"/>
      <c r="L746" s="121"/>
      <c r="M746" s="122"/>
      <c r="N746" s="25"/>
    </row>
    <row r="747">
      <c r="A747" s="25"/>
      <c r="B747" s="25"/>
      <c r="C747" s="121"/>
      <c r="D747" s="121"/>
      <c r="E747" s="121"/>
      <c r="F747" s="121"/>
      <c r="G747" s="121"/>
      <c r="H747" s="121"/>
      <c r="I747" s="121"/>
      <c r="J747" s="121"/>
      <c r="K747" s="121"/>
      <c r="L747" s="121"/>
      <c r="M747" s="122"/>
      <c r="N747" s="25"/>
    </row>
    <row r="748">
      <c r="A748" s="25"/>
      <c r="B748" s="25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2"/>
      <c r="N748" s="25"/>
    </row>
    <row r="749">
      <c r="A749" s="25"/>
      <c r="B749" s="25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2"/>
      <c r="N749" s="25"/>
    </row>
    <row r="750">
      <c r="A750" s="25"/>
      <c r="B750" s="25"/>
      <c r="C750" s="121"/>
      <c r="D750" s="121"/>
      <c r="E750" s="121"/>
      <c r="F750" s="121"/>
      <c r="G750" s="121"/>
      <c r="H750" s="121"/>
      <c r="I750" s="121"/>
      <c r="J750" s="121"/>
      <c r="K750" s="121"/>
      <c r="L750" s="121"/>
      <c r="M750" s="122"/>
      <c r="N750" s="25"/>
    </row>
    <row r="751">
      <c r="A751" s="25"/>
      <c r="B751" s="25"/>
      <c r="C751" s="121"/>
      <c r="D751" s="121"/>
      <c r="E751" s="121"/>
      <c r="F751" s="121"/>
      <c r="G751" s="121"/>
      <c r="H751" s="121"/>
      <c r="I751" s="121"/>
      <c r="J751" s="121"/>
      <c r="K751" s="121"/>
      <c r="L751" s="121"/>
      <c r="M751" s="122"/>
      <c r="N751" s="25"/>
    </row>
    <row r="752">
      <c r="A752" s="25"/>
      <c r="B752" s="25"/>
      <c r="C752" s="121"/>
      <c r="D752" s="121"/>
      <c r="E752" s="121"/>
      <c r="F752" s="121"/>
      <c r="G752" s="121"/>
      <c r="H752" s="121"/>
      <c r="I752" s="121"/>
      <c r="J752" s="121"/>
      <c r="K752" s="121"/>
      <c r="L752" s="121"/>
      <c r="M752" s="122"/>
      <c r="N752" s="25"/>
    </row>
    <row r="753">
      <c r="A753" s="25"/>
      <c r="B753" s="25"/>
      <c r="C753" s="121"/>
      <c r="D753" s="121"/>
      <c r="E753" s="121"/>
      <c r="F753" s="121"/>
      <c r="G753" s="121"/>
      <c r="H753" s="121"/>
      <c r="I753" s="121"/>
      <c r="J753" s="121"/>
      <c r="K753" s="121"/>
      <c r="L753" s="121"/>
      <c r="M753" s="122"/>
      <c r="N753" s="25"/>
    </row>
    <row r="754">
      <c r="A754" s="25"/>
      <c r="B754" s="25"/>
      <c r="C754" s="121"/>
      <c r="D754" s="121"/>
      <c r="E754" s="121"/>
      <c r="F754" s="121"/>
      <c r="G754" s="121"/>
      <c r="H754" s="121"/>
      <c r="I754" s="121"/>
      <c r="J754" s="121"/>
      <c r="K754" s="121"/>
      <c r="L754" s="121"/>
      <c r="M754" s="122"/>
      <c r="N754" s="25"/>
    </row>
    <row r="755">
      <c r="A755" s="25"/>
      <c r="B755" s="25"/>
      <c r="C755" s="121"/>
      <c r="D755" s="121"/>
      <c r="E755" s="121"/>
      <c r="F755" s="121"/>
      <c r="G755" s="121"/>
      <c r="H755" s="121"/>
      <c r="I755" s="121"/>
      <c r="J755" s="121"/>
      <c r="K755" s="121"/>
      <c r="L755" s="121"/>
      <c r="M755" s="122"/>
      <c r="N755" s="25"/>
    </row>
    <row r="756">
      <c r="A756" s="25"/>
      <c r="B756" s="25"/>
      <c r="C756" s="121"/>
      <c r="D756" s="121"/>
      <c r="E756" s="121"/>
      <c r="F756" s="121"/>
      <c r="G756" s="121"/>
      <c r="H756" s="121"/>
      <c r="I756" s="121"/>
      <c r="J756" s="121"/>
      <c r="K756" s="121"/>
      <c r="L756" s="121"/>
      <c r="M756" s="122"/>
      <c r="N756" s="25"/>
    </row>
    <row r="757">
      <c r="A757" s="25"/>
      <c r="B757" s="25"/>
      <c r="C757" s="121"/>
      <c r="D757" s="121"/>
      <c r="E757" s="121"/>
      <c r="F757" s="121"/>
      <c r="G757" s="121"/>
      <c r="H757" s="121"/>
      <c r="I757" s="121"/>
      <c r="J757" s="121"/>
      <c r="K757" s="121"/>
      <c r="L757" s="121"/>
      <c r="M757" s="122"/>
      <c r="N757" s="25"/>
    </row>
    <row r="758">
      <c r="A758" s="25"/>
      <c r="B758" s="25"/>
      <c r="C758" s="121"/>
      <c r="D758" s="121"/>
      <c r="E758" s="121"/>
      <c r="F758" s="121"/>
      <c r="G758" s="121"/>
      <c r="H758" s="121"/>
      <c r="I758" s="121"/>
      <c r="J758" s="121"/>
      <c r="K758" s="121"/>
      <c r="L758" s="121"/>
      <c r="M758" s="122"/>
      <c r="N758" s="25"/>
    </row>
    <row r="759">
      <c r="A759" s="25"/>
      <c r="B759" s="25"/>
      <c r="C759" s="121"/>
      <c r="D759" s="121"/>
      <c r="E759" s="121"/>
      <c r="F759" s="121"/>
      <c r="G759" s="121"/>
      <c r="H759" s="121"/>
      <c r="I759" s="121"/>
      <c r="J759" s="121"/>
      <c r="K759" s="121"/>
      <c r="L759" s="121"/>
      <c r="M759" s="122"/>
      <c r="N759" s="25"/>
    </row>
    <row r="760">
      <c r="A760" s="25"/>
      <c r="B760" s="25"/>
      <c r="C760" s="121"/>
      <c r="D760" s="121"/>
      <c r="E760" s="121"/>
      <c r="F760" s="121"/>
      <c r="G760" s="121"/>
      <c r="H760" s="121"/>
      <c r="I760" s="121"/>
      <c r="J760" s="121"/>
      <c r="K760" s="121"/>
      <c r="L760" s="121"/>
      <c r="M760" s="122"/>
      <c r="N760" s="25"/>
    </row>
    <row r="761">
      <c r="A761" s="25"/>
      <c r="B761" s="25"/>
      <c r="C761" s="121"/>
      <c r="D761" s="121"/>
      <c r="E761" s="121"/>
      <c r="F761" s="121"/>
      <c r="G761" s="121"/>
      <c r="H761" s="121"/>
      <c r="I761" s="121"/>
      <c r="J761" s="121"/>
      <c r="K761" s="121"/>
      <c r="L761" s="121"/>
      <c r="M761" s="122"/>
      <c r="N761" s="25"/>
    </row>
    <row r="762">
      <c r="A762" s="25"/>
      <c r="B762" s="25"/>
      <c r="C762" s="121"/>
      <c r="D762" s="121"/>
      <c r="E762" s="121"/>
      <c r="F762" s="121"/>
      <c r="G762" s="121"/>
      <c r="H762" s="121"/>
      <c r="I762" s="121"/>
      <c r="J762" s="121"/>
      <c r="K762" s="121"/>
      <c r="L762" s="121"/>
      <c r="M762" s="122"/>
      <c r="N762" s="25"/>
    </row>
    <row r="763">
      <c r="A763" s="25"/>
      <c r="B763" s="25"/>
      <c r="C763" s="121"/>
      <c r="D763" s="121"/>
      <c r="E763" s="121"/>
      <c r="F763" s="121"/>
      <c r="G763" s="121"/>
      <c r="H763" s="121"/>
      <c r="I763" s="121"/>
      <c r="J763" s="121"/>
      <c r="K763" s="121"/>
      <c r="L763" s="121"/>
      <c r="M763" s="122"/>
      <c r="N763" s="25"/>
    </row>
    <row r="764">
      <c r="A764" s="25"/>
      <c r="B764" s="25"/>
      <c r="C764" s="121"/>
      <c r="D764" s="121"/>
      <c r="E764" s="121"/>
      <c r="F764" s="121"/>
      <c r="G764" s="121"/>
      <c r="H764" s="121"/>
      <c r="I764" s="121"/>
      <c r="J764" s="121"/>
      <c r="K764" s="121"/>
      <c r="L764" s="121"/>
      <c r="M764" s="122"/>
      <c r="N764" s="25"/>
    </row>
    <row r="765">
      <c r="A765" s="25"/>
      <c r="B765" s="25"/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2"/>
      <c r="N765" s="25"/>
    </row>
    <row r="766">
      <c r="A766" s="25"/>
      <c r="B766" s="25"/>
      <c r="C766" s="121"/>
      <c r="D766" s="121"/>
      <c r="E766" s="121"/>
      <c r="F766" s="121"/>
      <c r="G766" s="121"/>
      <c r="H766" s="121"/>
      <c r="I766" s="121"/>
      <c r="J766" s="121"/>
      <c r="K766" s="121"/>
      <c r="L766" s="121"/>
      <c r="M766" s="122"/>
      <c r="N766" s="25"/>
    </row>
    <row r="767">
      <c r="A767" s="25"/>
      <c r="B767" s="25"/>
      <c r="C767" s="121"/>
      <c r="D767" s="121"/>
      <c r="E767" s="121"/>
      <c r="F767" s="121"/>
      <c r="G767" s="121"/>
      <c r="H767" s="121"/>
      <c r="I767" s="121"/>
      <c r="J767" s="121"/>
      <c r="K767" s="121"/>
      <c r="L767" s="121"/>
      <c r="M767" s="122"/>
      <c r="N767" s="25"/>
    </row>
    <row r="768">
      <c r="A768" s="25"/>
      <c r="B768" s="25"/>
      <c r="C768" s="121"/>
      <c r="D768" s="121"/>
      <c r="E768" s="121"/>
      <c r="F768" s="121"/>
      <c r="G768" s="121"/>
      <c r="H768" s="121"/>
      <c r="I768" s="121"/>
      <c r="J768" s="121"/>
      <c r="K768" s="121"/>
      <c r="L768" s="121"/>
      <c r="M768" s="122"/>
      <c r="N768" s="25"/>
    </row>
    <row r="769">
      <c r="A769" s="25"/>
      <c r="B769" s="25"/>
      <c r="C769" s="121"/>
      <c r="D769" s="121"/>
      <c r="E769" s="121"/>
      <c r="F769" s="121"/>
      <c r="G769" s="121"/>
      <c r="H769" s="121"/>
      <c r="I769" s="121"/>
      <c r="J769" s="121"/>
      <c r="K769" s="121"/>
      <c r="L769" s="121"/>
      <c r="M769" s="122"/>
      <c r="N769" s="25"/>
    </row>
    <row r="770">
      <c r="A770" s="25"/>
      <c r="B770" s="25"/>
      <c r="C770" s="121"/>
      <c r="D770" s="121"/>
      <c r="E770" s="121"/>
      <c r="F770" s="121"/>
      <c r="G770" s="121"/>
      <c r="H770" s="121"/>
      <c r="I770" s="121"/>
      <c r="J770" s="121"/>
      <c r="K770" s="121"/>
      <c r="L770" s="121"/>
      <c r="M770" s="122"/>
      <c r="N770" s="25"/>
    </row>
    <row r="771">
      <c r="A771" s="25"/>
      <c r="B771" s="25"/>
      <c r="C771" s="121"/>
      <c r="D771" s="121"/>
      <c r="E771" s="121"/>
      <c r="F771" s="121"/>
      <c r="G771" s="121"/>
      <c r="H771" s="121"/>
      <c r="I771" s="121"/>
      <c r="J771" s="121"/>
      <c r="K771" s="121"/>
      <c r="L771" s="121"/>
      <c r="M771" s="122"/>
      <c r="N771" s="25"/>
    </row>
    <row r="772">
      <c r="A772" s="25"/>
      <c r="B772" s="25"/>
      <c r="C772" s="121"/>
      <c r="D772" s="121"/>
      <c r="E772" s="121"/>
      <c r="F772" s="121"/>
      <c r="G772" s="121"/>
      <c r="H772" s="121"/>
      <c r="I772" s="121"/>
      <c r="J772" s="121"/>
      <c r="K772" s="121"/>
      <c r="L772" s="121"/>
      <c r="M772" s="122"/>
      <c r="N772" s="25"/>
    </row>
    <row r="773">
      <c r="A773" s="25"/>
      <c r="B773" s="25"/>
      <c r="C773" s="121"/>
      <c r="D773" s="121"/>
      <c r="E773" s="121"/>
      <c r="F773" s="121"/>
      <c r="G773" s="121"/>
      <c r="H773" s="121"/>
      <c r="I773" s="121"/>
      <c r="J773" s="121"/>
      <c r="K773" s="121"/>
      <c r="L773" s="121"/>
      <c r="M773" s="122"/>
      <c r="N773" s="25"/>
    </row>
    <row r="774">
      <c r="A774" s="25"/>
      <c r="B774" s="25"/>
      <c r="C774" s="121"/>
      <c r="D774" s="121"/>
      <c r="E774" s="121"/>
      <c r="F774" s="121"/>
      <c r="G774" s="121"/>
      <c r="H774" s="121"/>
      <c r="I774" s="121"/>
      <c r="J774" s="121"/>
      <c r="K774" s="121"/>
      <c r="L774" s="121"/>
      <c r="M774" s="122"/>
      <c r="N774" s="25"/>
    </row>
    <row r="775">
      <c r="A775" s="25"/>
      <c r="B775" s="25"/>
      <c r="C775" s="121"/>
      <c r="D775" s="121"/>
      <c r="E775" s="121"/>
      <c r="F775" s="121"/>
      <c r="G775" s="121"/>
      <c r="H775" s="121"/>
      <c r="I775" s="121"/>
      <c r="J775" s="121"/>
      <c r="K775" s="121"/>
      <c r="L775" s="121"/>
      <c r="M775" s="122"/>
      <c r="N775" s="25"/>
    </row>
    <row r="776">
      <c r="A776" s="25"/>
      <c r="B776" s="25"/>
      <c r="C776" s="121"/>
      <c r="D776" s="121"/>
      <c r="E776" s="121"/>
      <c r="F776" s="121"/>
      <c r="G776" s="121"/>
      <c r="H776" s="121"/>
      <c r="I776" s="121"/>
      <c r="J776" s="121"/>
      <c r="K776" s="121"/>
      <c r="L776" s="121"/>
      <c r="M776" s="122"/>
      <c r="N776" s="25"/>
    </row>
    <row r="777">
      <c r="A777" s="25"/>
      <c r="B777" s="25"/>
      <c r="C777" s="121"/>
      <c r="D777" s="121"/>
      <c r="E777" s="121"/>
      <c r="F777" s="121"/>
      <c r="G777" s="121"/>
      <c r="H777" s="121"/>
      <c r="I777" s="121"/>
      <c r="J777" s="121"/>
      <c r="K777" s="121"/>
      <c r="L777" s="121"/>
      <c r="M777" s="122"/>
      <c r="N777" s="25"/>
    </row>
    <row r="778">
      <c r="A778" s="25"/>
      <c r="B778" s="25"/>
      <c r="C778" s="121"/>
      <c r="D778" s="121"/>
      <c r="E778" s="121"/>
      <c r="F778" s="121"/>
      <c r="G778" s="121"/>
      <c r="H778" s="121"/>
      <c r="I778" s="121"/>
      <c r="J778" s="121"/>
      <c r="K778" s="121"/>
      <c r="L778" s="121"/>
      <c r="M778" s="122"/>
      <c r="N778" s="25"/>
    </row>
    <row r="779">
      <c r="A779" s="25"/>
      <c r="B779" s="25"/>
      <c r="C779" s="121"/>
      <c r="D779" s="121"/>
      <c r="E779" s="121"/>
      <c r="F779" s="121"/>
      <c r="G779" s="121"/>
      <c r="H779" s="121"/>
      <c r="I779" s="121"/>
      <c r="J779" s="121"/>
      <c r="K779" s="121"/>
      <c r="L779" s="121"/>
      <c r="M779" s="122"/>
      <c r="N779" s="25"/>
    </row>
    <row r="780">
      <c r="A780" s="25"/>
      <c r="B780" s="25"/>
      <c r="C780" s="121"/>
      <c r="D780" s="121"/>
      <c r="E780" s="121"/>
      <c r="F780" s="121"/>
      <c r="G780" s="121"/>
      <c r="H780" s="121"/>
      <c r="I780" s="121"/>
      <c r="J780" s="121"/>
      <c r="K780" s="121"/>
      <c r="L780" s="121"/>
      <c r="M780" s="122"/>
      <c r="N780" s="25"/>
    </row>
    <row r="781">
      <c r="A781" s="25"/>
      <c r="B781" s="25"/>
      <c r="C781" s="121"/>
      <c r="D781" s="121"/>
      <c r="E781" s="121"/>
      <c r="F781" s="121"/>
      <c r="G781" s="121"/>
      <c r="H781" s="121"/>
      <c r="I781" s="121"/>
      <c r="J781" s="121"/>
      <c r="K781" s="121"/>
      <c r="L781" s="121"/>
      <c r="M781" s="122"/>
      <c r="N781" s="25"/>
    </row>
    <row r="782">
      <c r="A782" s="25"/>
      <c r="B782" s="25"/>
      <c r="C782" s="121"/>
      <c r="D782" s="121"/>
      <c r="E782" s="121"/>
      <c r="F782" s="121"/>
      <c r="G782" s="121"/>
      <c r="H782" s="121"/>
      <c r="I782" s="121"/>
      <c r="J782" s="121"/>
      <c r="K782" s="121"/>
      <c r="L782" s="121"/>
      <c r="M782" s="122"/>
      <c r="N782" s="25"/>
    </row>
    <row r="783">
      <c r="A783" s="25"/>
      <c r="B783" s="25"/>
      <c r="C783" s="121"/>
      <c r="D783" s="121"/>
      <c r="E783" s="121"/>
      <c r="F783" s="121"/>
      <c r="G783" s="121"/>
      <c r="H783" s="121"/>
      <c r="I783" s="121"/>
      <c r="J783" s="121"/>
      <c r="K783" s="121"/>
      <c r="L783" s="121"/>
      <c r="M783" s="122"/>
      <c r="N783" s="25"/>
    </row>
    <row r="784">
      <c r="A784" s="25"/>
      <c r="B784" s="25"/>
      <c r="C784" s="121"/>
      <c r="D784" s="121"/>
      <c r="E784" s="121"/>
      <c r="F784" s="121"/>
      <c r="G784" s="121"/>
      <c r="H784" s="121"/>
      <c r="I784" s="121"/>
      <c r="J784" s="121"/>
      <c r="K784" s="121"/>
      <c r="L784" s="121"/>
      <c r="M784" s="122"/>
      <c r="N784" s="25"/>
    </row>
    <row r="785">
      <c r="A785" s="25"/>
      <c r="B785" s="25"/>
      <c r="C785" s="121"/>
      <c r="D785" s="121"/>
      <c r="E785" s="121"/>
      <c r="F785" s="121"/>
      <c r="G785" s="121"/>
      <c r="H785" s="121"/>
      <c r="I785" s="121"/>
      <c r="J785" s="121"/>
      <c r="K785" s="121"/>
      <c r="L785" s="121"/>
      <c r="M785" s="122"/>
      <c r="N785" s="25"/>
    </row>
    <row r="786">
      <c r="A786" s="25"/>
      <c r="B786" s="25"/>
      <c r="C786" s="121"/>
      <c r="D786" s="121"/>
      <c r="E786" s="121"/>
      <c r="F786" s="121"/>
      <c r="G786" s="121"/>
      <c r="H786" s="121"/>
      <c r="I786" s="121"/>
      <c r="J786" s="121"/>
      <c r="K786" s="121"/>
      <c r="L786" s="121"/>
      <c r="M786" s="122"/>
      <c r="N786" s="25"/>
    </row>
    <row r="787">
      <c r="A787" s="25"/>
      <c r="B787" s="25"/>
      <c r="C787" s="121"/>
      <c r="D787" s="121"/>
      <c r="E787" s="121"/>
      <c r="F787" s="121"/>
      <c r="G787" s="121"/>
      <c r="H787" s="121"/>
      <c r="I787" s="121"/>
      <c r="J787" s="121"/>
      <c r="K787" s="121"/>
      <c r="L787" s="121"/>
      <c r="M787" s="122"/>
      <c r="N787" s="25"/>
    </row>
    <row r="788">
      <c r="A788" s="25"/>
      <c r="B788" s="25"/>
      <c r="C788" s="121"/>
      <c r="D788" s="121"/>
      <c r="E788" s="121"/>
      <c r="F788" s="121"/>
      <c r="G788" s="121"/>
      <c r="H788" s="121"/>
      <c r="I788" s="121"/>
      <c r="J788" s="121"/>
      <c r="K788" s="121"/>
      <c r="L788" s="121"/>
      <c r="M788" s="122"/>
      <c r="N788" s="25"/>
    </row>
    <row r="789">
      <c r="A789" s="25"/>
      <c r="B789" s="25"/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2"/>
      <c r="N789" s="25"/>
    </row>
    <row r="790">
      <c r="A790" s="25"/>
      <c r="B790" s="25"/>
      <c r="C790" s="121"/>
      <c r="D790" s="121"/>
      <c r="E790" s="121"/>
      <c r="F790" s="121"/>
      <c r="G790" s="121"/>
      <c r="H790" s="121"/>
      <c r="I790" s="121"/>
      <c r="J790" s="121"/>
      <c r="K790" s="121"/>
      <c r="L790" s="121"/>
      <c r="M790" s="122"/>
      <c r="N790" s="25"/>
    </row>
    <row r="791">
      <c r="A791" s="25"/>
      <c r="B791" s="25"/>
      <c r="C791" s="121"/>
      <c r="D791" s="121"/>
      <c r="E791" s="121"/>
      <c r="F791" s="121"/>
      <c r="G791" s="121"/>
      <c r="H791" s="121"/>
      <c r="I791" s="121"/>
      <c r="J791" s="121"/>
      <c r="K791" s="121"/>
      <c r="L791" s="121"/>
      <c r="M791" s="122"/>
      <c r="N791" s="25"/>
    </row>
    <row r="792">
      <c r="A792" s="25"/>
      <c r="B792" s="25"/>
      <c r="C792" s="121"/>
      <c r="D792" s="121"/>
      <c r="E792" s="121"/>
      <c r="F792" s="121"/>
      <c r="G792" s="121"/>
      <c r="H792" s="121"/>
      <c r="I792" s="121"/>
      <c r="J792" s="121"/>
      <c r="K792" s="121"/>
      <c r="L792" s="121"/>
      <c r="M792" s="122"/>
      <c r="N792" s="25"/>
    </row>
    <row r="793">
      <c r="A793" s="25"/>
      <c r="B793" s="25"/>
      <c r="C793" s="121"/>
      <c r="D793" s="121"/>
      <c r="E793" s="121"/>
      <c r="F793" s="121"/>
      <c r="G793" s="121"/>
      <c r="H793" s="121"/>
      <c r="I793" s="121"/>
      <c r="J793" s="121"/>
      <c r="K793" s="121"/>
      <c r="L793" s="121"/>
      <c r="M793" s="122"/>
      <c r="N793" s="25"/>
    </row>
    <row r="794">
      <c r="A794" s="25"/>
      <c r="B794" s="25"/>
      <c r="C794" s="121"/>
      <c r="D794" s="121"/>
      <c r="E794" s="121"/>
      <c r="F794" s="121"/>
      <c r="G794" s="121"/>
      <c r="H794" s="121"/>
      <c r="I794" s="121"/>
      <c r="J794" s="121"/>
      <c r="K794" s="121"/>
      <c r="L794" s="121"/>
      <c r="M794" s="122"/>
      <c r="N794" s="25"/>
    </row>
    <row r="795">
      <c r="A795" s="25"/>
      <c r="B795" s="25"/>
      <c r="C795" s="121"/>
      <c r="D795" s="121"/>
      <c r="E795" s="121"/>
      <c r="F795" s="121"/>
      <c r="G795" s="121"/>
      <c r="H795" s="121"/>
      <c r="I795" s="121"/>
      <c r="J795" s="121"/>
      <c r="K795" s="121"/>
      <c r="L795" s="121"/>
      <c r="M795" s="122"/>
      <c r="N795" s="25"/>
    </row>
    <row r="796">
      <c r="A796" s="25"/>
      <c r="B796" s="25"/>
      <c r="C796" s="121"/>
      <c r="D796" s="121"/>
      <c r="E796" s="121"/>
      <c r="F796" s="121"/>
      <c r="G796" s="121"/>
      <c r="H796" s="121"/>
      <c r="I796" s="121"/>
      <c r="J796" s="121"/>
      <c r="K796" s="121"/>
      <c r="L796" s="121"/>
      <c r="M796" s="122"/>
      <c r="N796" s="25"/>
    </row>
    <row r="797">
      <c r="A797" s="25"/>
      <c r="B797" s="25"/>
      <c r="C797" s="121"/>
      <c r="D797" s="121"/>
      <c r="E797" s="121"/>
      <c r="F797" s="121"/>
      <c r="G797" s="121"/>
      <c r="H797" s="121"/>
      <c r="I797" s="121"/>
      <c r="J797" s="121"/>
      <c r="K797" s="121"/>
      <c r="L797" s="121"/>
      <c r="M797" s="122"/>
      <c r="N797" s="25"/>
    </row>
    <row r="798">
      <c r="A798" s="25"/>
      <c r="B798" s="25"/>
      <c r="C798" s="121"/>
      <c r="D798" s="121"/>
      <c r="E798" s="121"/>
      <c r="F798" s="121"/>
      <c r="G798" s="121"/>
      <c r="H798" s="121"/>
      <c r="I798" s="121"/>
      <c r="J798" s="121"/>
      <c r="K798" s="121"/>
      <c r="L798" s="121"/>
      <c r="M798" s="122"/>
      <c r="N798" s="25"/>
    </row>
    <row r="799">
      <c r="A799" s="25"/>
      <c r="B799" s="25"/>
      <c r="C799" s="121"/>
      <c r="D799" s="121"/>
      <c r="E799" s="121"/>
      <c r="F799" s="121"/>
      <c r="G799" s="121"/>
      <c r="H799" s="121"/>
      <c r="I799" s="121"/>
      <c r="J799" s="121"/>
      <c r="K799" s="121"/>
      <c r="L799" s="121"/>
      <c r="M799" s="122"/>
      <c r="N799" s="25"/>
    </row>
    <row r="800">
      <c r="A800" s="25"/>
      <c r="B800" s="25"/>
      <c r="C800" s="121"/>
      <c r="D800" s="121"/>
      <c r="E800" s="121"/>
      <c r="F800" s="121"/>
      <c r="G800" s="121"/>
      <c r="H800" s="121"/>
      <c r="I800" s="121"/>
      <c r="J800" s="121"/>
      <c r="K800" s="121"/>
      <c r="L800" s="121"/>
      <c r="M800" s="122"/>
      <c r="N800" s="25"/>
    </row>
    <row r="801">
      <c r="A801" s="25"/>
      <c r="B801" s="25"/>
      <c r="C801" s="121"/>
      <c r="D801" s="121"/>
      <c r="E801" s="121"/>
      <c r="F801" s="121"/>
      <c r="G801" s="121"/>
      <c r="H801" s="121"/>
      <c r="I801" s="121"/>
      <c r="J801" s="121"/>
      <c r="K801" s="121"/>
      <c r="L801" s="121"/>
      <c r="M801" s="122"/>
      <c r="N801" s="25"/>
    </row>
    <row r="802">
      <c r="A802" s="25"/>
      <c r="B802" s="25"/>
      <c r="C802" s="121"/>
      <c r="D802" s="121"/>
      <c r="E802" s="121"/>
      <c r="F802" s="121"/>
      <c r="G802" s="121"/>
      <c r="H802" s="121"/>
      <c r="I802" s="121"/>
      <c r="J802" s="121"/>
      <c r="K802" s="121"/>
      <c r="L802" s="121"/>
      <c r="M802" s="122"/>
      <c r="N802" s="25"/>
    </row>
    <row r="803">
      <c r="A803" s="25"/>
      <c r="B803" s="25"/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2"/>
      <c r="N803" s="25"/>
    </row>
    <row r="804">
      <c r="A804" s="25"/>
      <c r="B804" s="25"/>
      <c r="C804" s="121"/>
      <c r="D804" s="121"/>
      <c r="E804" s="121"/>
      <c r="F804" s="121"/>
      <c r="G804" s="121"/>
      <c r="H804" s="121"/>
      <c r="I804" s="121"/>
      <c r="J804" s="121"/>
      <c r="K804" s="121"/>
      <c r="L804" s="121"/>
      <c r="M804" s="122"/>
      <c r="N804" s="25"/>
    </row>
    <row r="805">
      <c r="A805" s="25"/>
      <c r="B805" s="25"/>
      <c r="C805" s="121"/>
      <c r="D805" s="121"/>
      <c r="E805" s="121"/>
      <c r="F805" s="121"/>
      <c r="G805" s="121"/>
      <c r="H805" s="121"/>
      <c r="I805" s="121"/>
      <c r="J805" s="121"/>
      <c r="K805" s="121"/>
      <c r="L805" s="121"/>
      <c r="M805" s="122"/>
      <c r="N805" s="25"/>
    </row>
    <row r="806">
      <c r="A806" s="25"/>
      <c r="B806" s="25"/>
      <c r="C806" s="121"/>
      <c r="D806" s="121"/>
      <c r="E806" s="121"/>
      <c r="F806" s="121"/>
      <c r="G806" s="121"/>
      <c r="H806" s="121"/>
      <c r="I806" s="121"/>
      <c r="J806" s="121"/>
      <c r="K806" s="121"/>
      <c r="L806" s="121"/>
      <c r="M806" s="122"/>
      <c r="N806" s="25"/>
    </row>
    <row r="807">
      <c r="A807" s="25"/>
      <c r="B807" s="25"/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2"/>
      <c r="N807" s="25"/>
    </row>
    <row r="808">
      <c r="A808" s="25"/>
      <c r="B808" s="25"/>
      <c r="C808" s="121"/>
      <c r="D808" s="121"/>
      <c r="E808" s="121"/>
      <c r="F808" s="121"/>
      <c r="G808" s="121"/>
      <c r="H808" s="121"/>
      <c r="I808" s="121"/>
      <c r="J808" s="121"/>
      <c r="K808" s="121"/>
      <c r="L808" s="121"/>
      <c r="M808" s="122"/>
      <c r="N808" s="25"/>
    </row>
    <row r="809">
      <c r="A809" s="25"/>
      <c r="B809" s="25"/>
      <c r="C809" s="121"/>
      <c r="D809" s="121"/>
      <c r="E809" s="121"/>
      <c r="F809" s="121"/>
      <c r="G809" s="121"/>
      <c r="H809" s="121"/>
      <c r="I809" s="121"/>
      <c r="J809" s="121"/>
      <c r="K809" s="121"/>
      <c r="L809" s="121"/>
      <c r="M809" s="122"/>
      <c r="N809" s="25"/>
    </row>
    <row r="810">
      <c r="A810" s="25"/>
      <c r="B810" s="25"/>
      <c r="C810" s="121"/>
      <c r="D810" s="121"/>
      <c r="E810" s="121"/>
      <c r="F810" s="121"/>
      <c r="G810" s="121"/>
      <c r="H810" s="121"/>
      <c r="I810" s="121"/>
      <c r="J810" s="121"/>
      <c r="K810" s="121"/>
      <c r="L810" s="121"/>
      <c r="M810" s="122"/>
      <c r="N810" s="25"/>
    </row>
    <row r="811">
      <c r="A811" s="25"/>
      <c r="B811" s="25"/>
      <c r="C811" s="121"/>
      <c r="D811" s="121"/>
      <c r="E811" s="121"/>
      <c r="F811" s="121"/>
      <c r="G811" s="121"/>
      <c r="H811" s="121"/>
      <c r="I811" s="121"/>
      <c r="J811" s="121"/>
      <c r="K811" s="121"/>
      <c r="L811" s="121"/>
      <c r="M811" s="122"/>
      <c r="N811" s="25"/>
    </row>
    <row r="812">
      <c r="A812" s="25"/>
      <c r="B812" s="25"/>
      <c r="C812" s="121"/>
      <c r="D812" s="121"/>
      <c r="E812" s="121"/>
      <c r="F812" s="121"/>
      <c r="G812" s="121"/>
      <c r="H812" s="121"/>
      <c r="I812" s="121"/>
      <c r="J812" s="121"/>
      <c r="K812" s="121"/>
      <c r="L812" s="121"/>
      <c r="M812" s="122"/>
      <c r="N812" s="25"/>
    </row>
    <row r="813">
      <c r="A813" s="25"/>
      <c r="B813" s="25"/>
      <c r="C813" s="121"/>
      <c r="D813" s="121"/>
      <c r="E813" s="121"/>
      <c r="F813" s="121"/>
      <c r="G813" s="121"/>
      <c r="H813" s="121"/>
      <c r="I813" s="121"/>
      <c r="J813" s="121"/>
      <c r="K813" s="121"/>
      <c r="L813" s="121"/>
      <c r="M813" s="122"/>
      <c r="N813" s="25"/>
    </row>
    <row r="814">
      <c r="A814" s="25"/>
      <c r="B814" s="25"/>
      <c r="C814" s="121"/>
      <c r="D814" s="121"/>
      <c r="E814" s="121"/>
      <c r="F814" s="121"/>
      <c r="G814" s="121"/>
      <c r="H814" s="121"/>
      <c r="I814" s="121"/>
      <c r="J814" s="121"/>
      <c r="K814" s="121"/>
      <c r="L814" s="121"/>
      <c r="M814" s="122"/>
      <c r="N814" s="25"/>
    </row>
    <row r="815">
      <c r="A815" s="25"/>
      <c r="B815" s="25"/>
      <c r="C815" s="121"/>
      <c r="D815" s="121"/>
      <c r="E815" s="121"/>
      <c r="F815" s="121"/>
      <c r="G815" s="121"/>
      <c r="H815" s="121"/>
      <c r="I815" s="121"/>
      <c r="J815" s="121"/>
      <c r="K815" s="121"/>
      <c r="L815" s="121"/>
      <c r="M815" s="122"/>
      <c r="N815" s="25"/>
    </row>
    <row r="816">
      <c r="A816" s="25"/>
      <c r="B816" s="25"/>
      <c r="C816" s="121"/>
      <c r="D816" s="121"/>
      <c r="E816" s="121"/>
      <c r="F816" s="121"/>
      <c r="G816" s="121"/>
      <c r="H816" s="121"/>
      <c r="I816" s="121"/>
      <c r="J816" s="121"/>
      <c r="K816" s="121"/>
      <c r="L816" s="121"/>
      <c r="M816" s="122"/>
      <c r="N816" s="25"/>
    </row>
    <row r="817">
      <c r="A817" s="25"/>
      <c r="B817" s="25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2"/>
      <c r="N817" s="25"/>
    </row>
    <row r="818">
      <c r="A818" s="25"/>
      <c r="B818" s="25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2"/>
      <c r="N818" s="25"/>
    </row>
    <row r="819">
      <c r="A819" s="25"/>
      <c r="B819" s="25"/>
      <c r="C819" s="121"/>
      <c r="D819" s="121"/>
      <c r="E819" s="121"/>
      <c r="F819" s="121"/>
      <c r="G819" s="121"/>
      <c r="H819" s="121"/>
      <c r="I819" s="121"/>
      <c r="J819" s="121"/>
      <c r="K819" s="121"/>
      <c r="L819" s="121"/>
      <c r="M819" s="122"/>
      <c r="N819" s="25"/>
    </row>
    <row r="820">
      <c r="A820" s="25"/>
      <c r="B820" s="25"/>
      <c r="C820" s="121"/>
      <c r="D820" s="121"/>
      <c r="E820" s="121"/>
      <c r="F820" s="121"/>
      <c r="G820" s="121"/>
      <c r="H820" s="121"/>
      <c r="I820" s="121"/>
      <c r="J820" s="121"/>
      <c r="K820" s="121"/>
      <c r="L820" s="121"/>
      <c r="M820" s="122"/>
      <c r="N820" s="25"/>
    </row>
    <row r="821">
      <c r="A821" s="25"/>
      <c r="B821" s="25"/>
      <c r="C821" s="121"/>
      <c r="D821" s="121"/>
      <c r="E821" s="121"/>
      <c r="F821" s="121"/>
      <c r="G821" s="121"/>
      <c r="H821" s="121"/>
      <c r="I821" s="121"/>
      <c r="J821" s="121"/>
      <c r="K821" s="121"/>
      <c r="L821" s="121"/>
      <c r="M821" s="122"/>
      <c r="N821" s="25"/>
    </row>
    <row r="822">
      <c r="A822" s="25"/>
      <c r="B822" s="25"/>
      <c r="C822" s="121"/>
      <c r="D822" s="121"/>
      <c r="E822" s="121"/>
      <c r="F822" s="121"/>
      <c r="G822" s="121"/>
      <c r="H822" s="121"/>
      <c r="I822" s="121"/>
      <c r="J822" s="121"/>
      <c r="K822" s="121"/>
      <c r="L822" s="121"/>
      <c r="M822" s="122"/>
      <c r="N822" s="25"/>
    </row>
    <row r="823">
      <c r="A823" s="25"/>
      <c r="B823" s="25"/>
      <c r="C823" s="121"/>
      <c r="D823" s="121"/>
      <c r="E823" s="121"/>
      <c r="F823" s="121"/>
      <c r="G823" s="121"/>
      <c r="H823" s="121"/>
      <c r="I823" s="121"/>
      <c r="J823" s="121"/>
      <c r="K823" s="121"/>
      <c r="L823" s="121"/>
      <c r="M823" s="122"/>
      <c r="N823" s="25"/>
    </row>
    <row r="824">
      <c r="A824" s="25"/>
      <c r="B824" s="25"/>
      <c r="C824" s="121"/>
      <c r="D824" s="121"/>
      <c r="E824" s="121"/>
      <c r="F824" s="121"/>
      <c r="G824" s="121"/>
      <c r="H824" s="121"/>
      <c r="I824" s="121"/>
      <c r="J824" s="121"/>
      <c r="K824" s="121"/>
      <c r="L824" s="121"/>
      <c r="M824" s="122"/>
      <c r="N824" s="25"/>
    </row>
    <row r="825">
      <c r="A825" s="25"/>
      <c r="B825" s="25"/>
      <c r="C825" s="121"/>
      <c r="D825" s="121"/>
      <c r="E825" s="121"/>
      <c r="F825" s="121"/>
      <c r="G825" s="121"/>
      <c r="H825" s="121"/>
      <c r="I825" s="121"/>
      <c r="J825" s="121"/>
      <c r="K825" s="121"/>
      <c r="L825" s="121"/>
      <c r="M825" s="122"/>
      <c r="N825" s="25"/>
    </row>
    <row r="826">
      <c r="A826" s="25"/>
      <c r="B826" s="25"/>
      <c r="C826" s="121"/>
      <c r="D826" s="121"/>
      <c r="E826" s="121"/>
      <c r="F826" s="121"/>
      <c r="G826" s="121"/>
      <c r="H826" s="121"/>
      <c r="I826" s="121"/>
      <c r="J826" s="121"/>
      <c r="K826" s="121"/>
      <c r="L826" s="121"/>
      <c r="M826" s="122"/>
      <c r="N826" s="25"/>
    </row>
    <row r="827">
      <c r="A827" s="25"/>
      <c r="B827" s="25"/>
      <c r="C827" s="121"/>
      <c r="D827" s="121"/>
      <c r="E827" s="121"/>
      <c r="F827" s="121"/>
      <c r="G827" s="121"/>
      <c r="H827" s="121"/>
      <c r="I827" s="121"/>
      <c r="J827" s="121"/>
      <c r="K827" s="121"/>
      <c r="L827" s="121"/>
      <c r="M827" s="122"/>
      <c r="N827" s="25"/>
    </row>
    <row r="828">
      <c r="A828" s="25"/>
      <c r="B828" s="25"/>
      <c r="C828" s="121"/>
      <c r="D828" s="121"/>
      <c r="E828" s="121"/>
      <c r="F828" s="121"/>
      <c r="G828" s="121"/>
      <c r="H828" s="121"/>
      <c r="I828" s="121"/>
      <c r="J828" s="121"/>
      <c r="K828" s="121"/>
      <c r="L828" s="121"/>
      <c r="M828" s="122"/>
      <c r="N828" s="25"/>
    </row>
    <row r="829">
      <c r="A829" s="25"/>
      <c r="B829" s="25"/>
      <c r="C829" s="121"/>
      <c r="D829" s="121"/>
      <c r="E829" s="121"/>
      <c r="F829" s="121"/>
      <c r="G829" s="121"/>
      <c r="H829" s="121"/>
      <c r="I829" s="121"/>
      <c r="J829" s="121"/>
      <c r="K829" s="121"/>
      <c r="L829" s="121"/>
      <c r="M829" s="122"/>
      <c r="N829" s="25"/>
    </row>
    <row r="830">
      <c r="A830" s="25"/>
      <c r="B830" s="25"/>
      <c r="C830" s="121"/>
      <c r="D830" s="121"/>
      <c r="E830" s="121"/>
      <c r="F830" s="121"/>
      <c r="G830" s="121"/>
      <c r="H830" s="121"/>
      <c r="I830" s="121"/>
      <c r="J830" s="121"/>
      <c r="K830" s="121"/>
      <c r="L830" s="121"/>
      <c r="M830" s="122"/>
      <c r="N830" s="25"/>
    </row>
    <row r="831">
      <c r="A831" s="25"/>
      <c r="B831" s="25"/>
      <c r="C831" s="121"/>
      <c r="D831" s="121"/>
      <c r="E831" s="121"/>
      <c r="F831" s="121"/>
      <c r="G831" s="121"/>
      <c r="H831" s="121"/>
      <c r="I831" s="121"/>
      <c r="J831" s="121"/>
      <c r="K831" s="121"/>
      <c r="L831" s="121"/>
      <c r="M831" s="122"/>
      <c r="N831" s="25"/>
    </row>
    <row r="832">
      <c r="A832" s="25"/>
      <c r="B832" s="25"/>
      <c r="C832" s="121"/>
      <c r="D832" s="121"/>
      <c r="E832" s="121"/>
      <c r="F832" s="121"/>
      <c r="G832" s="121"/>
      <c r="H832" s="121"/>
      <c r="I832" s="121"/>
      <c r="J832" s="121"/>
      <c r="K832" s="121"/>
      <c r="L832" s="121"/>
      <c r="M832" s="122"/>
      <c r="N832" s="25"/>
    </row>
    <row r="833">
      <c r="A833" s="25"/>
      <c r="B833" s="25"/>
      <c r="C833" s="121"/>
      <c r="D833" s="121"/>
      <c r="E833" s="121"/>
      <c r="F833" s="121"/>
      <c r="G833" s="121"/>
      <c r="H833" s="121"/>
      <c r="I833" s="121"/>
      <c r="J833" s="121"/>
      <c r="K833" s="121"/>
      <c r="L833" s="121"/>
      <c r="M833" s="122"/>
      <c r="N833" s="25"/>
    </row>
    <row r="834">
      <c r="A834" s="25"/>
      <c r="B834" s="25"/>
      <c r="C834" s="121"/>
      <c r="D834" s="121"/>
      <c r="E834" s="121"/>
      <c r="F834" s="121"/>
      <c r="G834" s="121"/>
      <c r="H834" s="121"/>
      <c r="I834" s="121"/>
      <c r="J834" s="121"/>
      <c r="K834" s="121"/>
      <c r="L834" s="121"/>
      <c r="M834" s="122"/>
      <c r="N834" s="25"/>
    </row>
    <row r="835">
      <c r="A835" s="25"/>
      <c r="B835" s="25"/>
      <c r="C835" s="121"/>
      <c r="D835" s="121"/>
      <c r="E835" s="121"/>
      <c r="F835" s="121"/>
      <c r="G835" s="121"/>
      <c r="H835" s="121"/>
      <c r="I835" s="121"/>
      <c r="J835" s="121"/>
      <c r="K835" s="121"/>
      <c r="L835" s="121"/>
      <c r="M835" s="122"/>
      <c r="N835" s="25"/>
    </row>
    <row r="836">
      <c r="A836" s="25"/>
      <c r="B836" s="25"/>
      <c r="C836" s="121"/>
      <c r="D836" s="121"/>
      <c r="E836" s="121"/>
      <c r="F836" s="121"/>
      <c r="G836" s="121"/>
      <c r="H836" s="121"/>
      <c r="I836" s="121"/>
      <c r="J836" s="121"/>
      <c r="K836" s="121"/>
      <c r="L836" s="121"/>
      <c r="M836" s="122"/>
      <c r="N836" s="25"/>
    </row>
    <row r="837">
      <c r="A837" s="25"/>
      <c r="B837" s="25"/>
      <c r="C837" s="121"/>
      <c r="D837" s="121"/>
      <c r="E837" s="121"/>
      <c r="F837" s="121"/>
      <c r="G837" s="121"/>
      <c r="H837" s="121"/>
      <c r="I837" s="121"/>
      <c r="J837" s="121"/>
      <c r="K837" s="121"/>
      <c r="L837" s="121"/>
      <c r="M837" s="122"/>
      <c r="N837" s="25"/>
    </row>
    <row r="838">
      <c r="A838" s="25"/>
      <c r="B838" s="25"/>
      <c r="C838" s="121"/>
      <c r="D838" s="121"/>
      <c r="E838" s="121"/>
      <c r="F838" s="121"/>
      <c r="G838" s="121"/>
      <c r="H838" s="121"/>
      <c r="I838" s="121"/>
      <c r="J838" s="121"/>
      <c r="K838" s="121"/>
      <c r="L838" s="121"/>
      <c r="M838" s="122"/>
      <c r="N838" s="25"/>
    </row>
    <row r="839">
      <c r="A839" s="25"/>
      <c r="B839" s="25"/>
      <c r="C839" s="121"/>
      <c r="D839" s="121"/>
      <c r="E839" s="121"/>
      <c r="F839" s="121"/>
      <c r="G839" s="121"/>
      <c r="H839" s="121"/>
      <c r="I839" s="121"/>
      <c r="J839" s="121"/>
      <c r="K839" s="121"/>
      <c r="L839" s="121"/>
      <c r="M839" s="122"/>
      <c r="N839" s="25"/>
    </row>
    <row r="840">
      <c r="A840" s="25"/>
      <c r="B840" s="25"/>
      <c r="C840" s="121"/>
      <c r="D840" s="121"/>
      <c r="E840" s="121"/>
      <c r="F840" s="121"/>
      <c r="G840" s="121"/>
      <c r="H840" s="121"/>
      <c r="I840" s="121"/>
      <c r="J840" s="121"/>
      <c r="K840" s="121"/>
      <c r="L840" s="121"/>
      <c r="M840" s="122"/>
      <c r="N840" s="25"/>
    </row>
    <row r="841">
      <c r="A841" s="25"/>
      <c r="B841" s="25"/>
      <c r="C841" s="121"/>
      <c r="D841" s="121"/>
      <c r="E841" s="121"/>
      <c r="F841" s="121"/>
      <c r="G841" s="121"/>
      <c r="H841" s="121"/>
      <c r="I841" s="121"/>
      <c r="J841" s="121"/>
      <c r="K841" s="121"/>
      <c r="L841" s="121"/>
      <c r="M841" s="122"/>
      <c r="N841" s="25"/>
    </row>
    <row r="842">
      <c r="A842" s="25"/>
      <c r="B842" s="25"/>
      <c r="C842" s="121"/>
      <c r="D842" s="121"/>
      <c r="E842" s="121"/>
      <c r="F842" s="121"/>
      <c r="G842" s="121"/>
      <c r="H842" s="121"/>
      <c r="I842" s="121"/>
      <c r="J842" s="121"/>
      <c r="K842" s="121"/>
      <c r="L842" s="121"/>
      <c r="M842" s="122"/>
      <c r="N842" s="25"/>
    </row>
    <row r="843">
      <c r="A843" s="25"/>
      <c r="B843" s="25"/>
      <c r="C843" s="121"/>
      <c r="D843" s="121"/>
      <c r="E843" s="121"/>
      <c r="F843" s="121"/>
      <c r="G843" s="121"/>
      <c r="H843" s="121"/>
      <c r="I843" s="121"/>
      <c r="J843" s="121"/>
      <c r="K843" s="121"/>
      <c r="L843" s="121"/>
      <c r="M843" s="122"/>
      <c r="N843" s="25"/>
    </row>
    <row r="844">
      <c r="A844" s="25"/>
      <c r="B844" s="25"/>
      <c r="C844" s="121"/>
      <c r="D844" s="121"/>
      <c r="E844" s="121"/>
      <c r="F844" s="121"/>
      <c r="G844" s="121"/>
      <c r="H844" s="121"/>
      <c r="I844" s="121"/>
      <c r="J844" s="121"/>
      <c r="K844" s="121"/>
      <c r="L844" s="121"/>
      <c r="M844" s="122"/>
      <c r="N844" s="25"/>
    </row>
    <row r="845">
      <c r="A845" s="25"/>
      <c r="B845" s="25"/>
      <c r="C845" s="121"/>
      <c r="D845" s="121"/>
      <c r="E845" s="121"/>
      <c r="F845" s="121"/>
      <c r="G845" s="121"/>
      <c r="H845" s="121"/>
      <c r="I845" s="121"/>
      <c r="J845" s="121"/>
      <c r="K845" s="121"/>
      <c r="L845" s="121"/>
      <c r="M845" s="122"/>
      <c r="N845" s="25"/>
    </row>
    <row r="846">
      <c r="A846" s="25"/>
      <c r="B846" s="25"/>
      <c r="C846" s="121"/>
      <c r="D846" s="121"/>
      <c r="E846" s="121"/>
      <c r="F846" s="121"/>
      <c r="G846" s="121"/>
      <c r="H846" s="121"/>
      <c r="I846" s="121"/>
      <c r="J846" s="121"/>
      <c r="K846" s="121"/>
      <c r="L846" s="121"/>
      <c r="M846" s="122"/>
      <c r="N846" s="25"/>
    </row>
    <row r="847">
      <c r="A847" s="25"/>
      <c r="B847" s="25"/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2"/>
      <c r="N847" s="25"/>
    </row>
    <row r="848">
      <c r="A848" s="25"/>
      <c r="B848" s="25"/>
      <c r="C848" s="121"/>
      <c r="D848" s="121"/>
      <c r="E848" s="121"/>
      <c r="F848" s="121"/>
      <c r="G848" s="121"/>
      <c r="H848" s="121"/>
      <c r="I848" s="121"/>
      <c r="J848" s="121"/>
      <c r="K848" s="121"/>
      <c r="L848" s="121"/>
      <c r="M848" s="122"/>
      <c r="N848" s="25"/>
    </row>
    <row r="849">
      <c r="A849" s="25"/>
      <c r="B849" s="25"/>
      <c r="C849" s="121"/>
      <c r="D849" s="121"/>
      <c r="E849" s="121"/>
      <c r="F849" s="121"/>
      <c r="G849" s="121"/>
      <c r="H849" s="121"/>
      <c r="I849" s="121"/>
      <c r="J849" s="121"/>
      <c r="K849" s="121"/>
      <c r="L849" s="121"/>
      <c r="M849" s="122"/>
      <c r="N849" s="25"/>
    </row>
    <row r="850">
      <c r="A850" s="25"/>
      <c r="B850" s="25"/>
      <c r="C850" s="121"/>
      <c r="D850" s="121"/>
      <c r="E850" s="121"/>
      <c r="F850" s="121"/>
      <c r="G850" s="121"/>
      <c r="H850" s="121"/>
      <c r="I850" s="121"/>
      <c r="J850" s="121"/>
      <c r="K850" s="121"/>
      <c r="L850" s="121"/>
      <c r="M850" s="122"/>
      <c r="N850" s="25"/>
    </row>
    <row r="851">
      <c r="A851" s="25"/>
      <c r="B851" s="25"/>
      <c r="C851" s="121"/>
      <c r="D851" s="121"/>
      <c r="E851" s="121"/>
      <c r="F851" s="121"/>
      <c r="G851" s="121"/>
      <c r="H851" s="121"/>
      <c r="I851" s="121"/>
      <c r="J851" s="121"/>
      <c r="K851" s="121"/>
      <c r="L851" s="121"/>
      <c r="M851" s="122"/>
      <c r="N851" s="25"/>
    </row>
    <row r="852">
      <c r="A852" s="25"/>
      <c r="B852" s="25"/>
      <c r="C852" s="121"/>
      <c r="D852" s="121"/>
      <c r="E852" s="121"/>
      <c r="F852" s="121"/>
      <c r="G852" s="121"/>
      <c r="H852" s="121"/>
      <c r="I852" s="121"/>
      <c r="J852" s="121"/>
      <c r="K852" s="121"/>
      <c r="L852" s="121"/>
      <c r="M852" s="122"/>
      <c r="N852" s="25"/>
    </row>
    <row r="853">
      <c r="A853" s="25"/>
      <c r="B853" s="25"/>
      <c r="C853" s="121"/>
      <c r="D853" s="121"/>
      <c r="E853" s="121"/>
      <c r="F853" s="121"/>
      <c r="G853" s="121"/>
      <c r="H853" s="121"/>
      <c r="I853" s="121"/>
      <c r="J853" s="121"/>
      <c r="K853" s="121"/>
      <c r="L853" s="121"/>
      <c r="M853" s="122"/>
      <c r="N853" s="25"/>
    </row>
    <row r="854">
      <c r="A854" s="25"/>
      <c r="B854" s="25"/>
      <c r="C854" s="121"/>
      <c r="D854" s="121"/>
      <c r="E854" s="121"/>
      <c r="F854" s="121"/>
      <c r="G854" s="121"/>
      <c r="H854" s="121"/>
      <c r="I854" s="121"/>
      <c r="J854" s="121"/>
      <c r="K854" s="121"/>
      <c r="L854" s="121"/>
      <c r="M854" s="122"/>
      <c r="N854" s="25"/>
    </row>
    <row r="855">
      <c r="A855" s="25"/>
      <c r="B855" s="25"/>
      <c r="C855" s="121"/>
      <c r="D855" s="121"/>
      <c r="E855" s="121"/>
      <c r="F855" s="121"/>
      <c r="G855" s="121"/>
      <c r="H855" s="121"/>
      <c r="I855" s="121"/>
      <c r="J855" s="121"/>
      <c r="K855" s="121"/>
      <c r="L855" s="121"/>
      <c r="M855" s="122"/>
      <c r="N855" s="25"/>
    </row>
    <row r="856">
      <c r="A856" s="25"/>
      <c r="B856" s="25"/>
      <c r="C856" s="121"/>
      <c r="D856" s="121"/>
      <c r="E856" s="121"/>
      <c r="F856" s="121"/>
      <c r="G856" s="121"/>
      <c r="H856" s="121"/>
      <c r="I856" s="121"/>
      <c r="J856" s="121"/>
      <c r="K856" s="121"/>
      <c r="L856" s="121"/>
      <c r="M856" s="122"/>
      <c r="N856" s="25"/>
    </row>
    <row r="857">
      <c r="A857" s="25"/>
      <c r="B857" s="25"/>
      <c r="C857" s="121"/>
      <c r="D857" s="121"/>
      <c r="E857" s="121"/>
      <c r="F857" s="121"/>
      <c r="G857" s="121"/>
      <c r="H857" s="121"/>
      <c r="I857" s="121"/>
      <c r="J857" s="121"/>
      <c r="K857" s="121"/>
      <c r="L857" s="121"/>
      <c r="M857" s="122"/>
      <c r="N857" s="25"/>
    </row>
    <row r="858">
      <c r="A858" s="25"/>
      <c r="B858" s="25"/>
      <c r="C858" s="121"/>
      <c r="D858" s="121"/>
      <c r="E858" s="121"/>
      <c r="F858" s="121"/>
      <c r="G858" s="121"/>
      <c r="H858" s="121"/>
      <c r="I858" s="121"/>
      <c r="J858" s="121"/>
      <c r="K858" s="121"/>
      <c r="L858" s="121"/>
      <c r="M858" s="122"/>
      <c r="N858" s="25"/>
    </row>
    <row r="859">
      <c r="A859" s="25"/>
      <c r="B859" s="25"/>
      <c r="C859" s="121"/>
      <c r="D859" s="121"/>
      <c r="E859" s="121"/>
      <c r="F859" s="121"/>
      <c r="G859" s="121"/>
      <c r="H859" s="121"/>
      <c r="I859" s="121"/>
      <c r="J859" s="121"/>
      <c r="K859" s="121"/>
      <c r="L859" s="121"/>
      <c r="M859" s="122"/>
      <c r="N859" s="25"/>
    </row>
    <row r="860">
      <c r="A860" s="25"/>
      <c r="B860" s="25"/>
      <c r="C860" s="121"/>
      <c r="D860" s="121"/>
      <c r="E860" s="121"/>
      <c r="F860" s="121"/>
      <c r="G860" s="121"/>
      <c r="H860" s="121"/>
      <c r="I860" s="121"/>
      <c r="J860" s="121"/>
      <c r="K860" s="121"/>
      <c r="L860" s="121"/>
      <c r="M860" s="122"/>
      <c r="N860" s="25"/>
    </row>
    <row r="861">
      <c r="A861" s="25"/>
      <c r="B861" s="25"/>
      <c r="C861" s="121"/>
      <c r="D861" s="121"/>
      <c r="E861" s="121"/>
      <c r="F861" s="121"/>
      <c r="G861" s="121"/>
      <c r="H861" s="121"/>
      <c r="I861" s="121"/>
      <c r="J861" s="121"/>
      <c r="K861" s="121"/>
      <c r="L861" s="121"/>
      <c r="M861" s="122"/>
      <c r="N861" s="25"/>
    </row>
    <row r="862">
      <c r="A862" s="25"/>
      <c r="B862" s="25"/>
      <c r="C862" s="121"/>
      <c r="D862" s="121"/>
      <c r="E862" s="121"/>
      <c r="F862" s="121"/>
      <c r="G862" s="121"/>
      <c r="H862" s="121"/>
      <c r="I862" s="121"/>
      <c r="J862" s="121"/>
      <c r="K862" s="121"/>
      <c r="L862" s="121"/>
      <c r="M862" s="122"/>
      <c r="N862" s="25"/>
    </row>
    <row r="863">
      <c r="A863" s="25"/>
      <c r="B863" s="25"/>
      <c r="C863" s="121"/>
      <c r="D863" s="121"/>
      <c r="E863" s="121"/>
      <c r="F863" s="121"/>
      <c r="G863" s="121"/>
      <c r="H863" s="121"/>
      <c r="I863" s="121"/>
      <c r="J863" s="121"/>
      <c r="K863" s="121"/>
      <c r="L863" s="121"/>
      <c r="M863" s="122"/>
      <c r="N863" s="25"/>
    </row>
    <row r="864">
      <c r="A864" s="25"/>
      <c r="B864" s="25"/>
      <c r="C864" s="121"/>
      <c r="D864" s="121"/>
      <c r="E864" s="121"/>
      <c r="F864" s="121"/>
      <c r="G864" s="121"/>
      <c r="H864" s="121"/>
      <c r="I864" s="121"/>
      <c r="J864" s="121"/>
      <c r="K864" s="121"/>
      <c r="L864" s="121"/>
      <c r="M864" s="122"/>
      <c r="N864" s="25"/>
    </row>
    <row r="865">
      <c r="A865" s="25"/>
      <c r="B865" s="25"/>
      <c r="C865" s="121"/>
      <c r="D865" s="121"/>
      <c r="E865" s="121"/>
      <c r="F865" s="121"/>
      <c r="G865" s="121"/>
      <c r="H865" s="121"/>
      <c r="I865" s="121"/>
      <c r="J865" s="121"/>
      <c r="K865" s="121"/>
      <c r="L865" s="121"/>
      <c r="M865" s="122"/>
      <c r="N865" s="25"/>
    </row>
    <row r="866">
      <c r="A866" s="25"/>
      <c r="B866" s="25"/>
      <c r="C866" s="121"/>
      <c r="D866" s="121"/>
      <c r="E866" s="121"/>
      <c r="F866" s="121"/>
      <c r="G866" s="121"/>
      <c r="H866" s="121"/>
      <c r="I866" s="121"/>
      <c r="J866" s="121"/>
      <c r="K866" s="121"/>
      <c r="L866" s="121"/>
      <c r="M866" s="122"/>
      <c r="N866" s="25"/>
    </row>
    <row r="867">
      <c r="A867" s="25"/>
      <c r="B867" s="25"/>
      <c r="C867" s="121"/>
      <c r="D867" s="121"/>
      <c r="E867" s="121"/>
      <c r="F867" s="121"/>
      <c r="G867" s="121"/>
      <c r="H867" s="121"/>
      <c r="I867" s="121"/>
      <c r="J867" s="121"/>
      <c r="K867" s="121"/>
      <c r="L867" s="121"/>
      <c r="M867" s="122"/>
      <c r="N867" s="25"/>
    </row>
    <row r="868">
      <c r="A868" s="25"/>
      <c r="B868" s="25"/>
      <c r="C868" s="121"/>
      <c r="D868" s="121"/>
      <c r="E868" s="121"/>
      <c r="F868" s="121"/>
      <c r="G868" s="121"/>
      <c r="H868" s="121"/>
      <c r="I868" s="121"/>
      <c r="J868" s="121"/>
      <c r="K868" s="121"/>
      <c r="L868" s="121"/>
      <c r="M868" s="122"/>
      <c r="N868" s="25"/>
    </row>
    <row r="869">
      <c r="A869" s="25"/>
      <c r="B869" s="25"/>
      <c r="C869" s="121"/>
      <c r="D869" s="121"/>
      <c r="E869" s="121"/>
      <c r="F869" s="121"/>
      <c r="G869" s="121"/>
      <c r="H869" s="121"/>
      <c r="I869" s="121"/>
      <c r="J869" s="121"/>
      <c r="K869" s="121"/>
      <c r="L869" s="121"/>
      <c r="M869" s="122"/>
      <c r="N869" s="25"/>
    </row>
    <row r="870">
      <c r="A870" s="25"/>
      <c r="B870" s="25"/>
      <c r="C870" s="121"/>
      <c r="D870" s="121"/>
      <c r="E870" s="121"/>
      <c r="F870" s="121"/>
      <c r="G870" s="121"/>
      <c r="H870" s="121"/>
      <c r="I870" s="121"/>
      <c r="J870" s="121"/>
      <c r="K870" s="121"/>
      <c r="L870" s="121"/>
      <c r="M870" s="122"/>
      <c r="N870" s="25"/>
    </row>
    <row r="871">
      <c r="A871" s="25"/>
      <c r="B871" s="25"/>
      <c r="C871" s="121"/>
      <c r="D871" s="121"/>
      <c r="E871" s="121"/>
      <c r="F871" s="121"/>
      <c r="G871" s="121"/>
      <c r="H871" s="121"/>
      <c r="I871" s="121"/>
      <c r="J871" s="121"/>
      <c r="K871" s="121"/>
      <c r="L871" s="121"/>
      <c r="M871" s="122"/>
      <c r="N871" s="25"/>
    </row>
    <row r="872">
      <c r="A872" s="25"/>
      <c r="B872" s="25"/>
      <c r="C872" s="121"/>
      <c r="D872" s="121"/>
      <c r="E872" s="121"/>
      <c r="F872" s="121"/>
      <c r="G872" s="121"/>
      <c r="H872" s="121"/>
      <c r="I872" s="121"/>
      <c r="J872" s="121"/>
      <c r="K872" s="121"/>
      <c r="L872" s="121"/>
      <c r="M872" s="122"/>
      <c r="N872" s="25"/>
    </row>
    <row r="873">
      <c r="A873" s="25"/>
      <c r="B873" s="25"/>
      <c r="C873" s="121"/>
      <c r="D873" s="121"/>
      <c r="E873" s="121"/>
      <c r="F873" s="121"/>
      <c r="G873" s="121"/>
      <c r="H873" s="121"/>
      <c r="I873" s="121"/>
      <c r="J873" s="121"/>
      <c r="K873" s="121"/>
      <c r="L873" s="121"/>
      <c r="M873" s="122"/>
      <c r="N873" s="25"/>
    </row>
    <row r="874">
      <c r="A874" s="25"/>
      <c r="B874" s="25"/>
      <c r="C874" s="121"/>
      <c r="D874" s="121"/>
      <c r="E874" s="121"/>
      <c r="F874" s="121"/>
      <c r="G874" s="121"/>
      <c r="H874" s="121"/>
      <c r="I874" s="121"/>
      <c r="J874" s="121"/>
      <c r="K874" s="121"/>
      <c r="L874" s="121"/>
      <c r="M874" s="122"/>
      <c r="N874" s="25"/>
    </row>
    <row r="875">
      <c r="A875" s="25"/>
      <c r="B875" s="25"/>
      <c r="C875" s="121"/>
      <c r="D875" s="121"/>
      <c r="E875" s="121"/>
      <c r="F875" s="121"/>
      <c r="G875" s="121"/>
      <c r="H875" s="121"/>
      <c r="I875" s="121"/>
      <c r="J875" s="121"/>
      <c r="K875" s="121"/>
      <c r="L875" s="121"/>
      <c r="M875" s="122"/>
      <c r="N875" s="25"/>
    </row>
    <row r="876">
      <c r="A876" s="25"/>
      <c r="B876" s="25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2"/>
      <c r="N876" s="25"/>
    </row>
    <row r="877">
      <c r="A877" s="25"/>
      <c r="B877" s="25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2"/>
      <c r="N877" s="25"/>
    </row>
    <row r="878">
      <c r="A878" s="25"/>
      <c r="B878" s="25"/>
      <c r="C878" s="121"/>
      <c r="D878" s="121"/>
      <c r="E878" s="121"/>
      <c r="F878" s="121"/>
      <c r="G878" s="121"/>
      <c r="H878" s="121"/>
      <c r="I878" s="121"/>
      <c r="J878" s="121"/>
      <c r="K878" s="121"/>
      <c r="L878" s="121"/>
      <c r="M878" s="122"/>
      <c r="N878" s="25"/>
    </row>
    <row r="879">
      <c r="A879" s="25"/>
      <c r="B879" s="25"/>
      <c r="C879" s="121"/>
      <c r="D879" s="121"/>
      <c r="E879" s="121"/>
      <c r="F879" s="121"/>
      <c r="G879" s="121"/>
      <c r="H879" s="121"/>
      <c r="I879" s="121"/>
      <c r="J879" s="121"/>
      <c r="K879" s="121"/>
      <c r="L879" s="121"/>
      <c r="M879" s="122"/>
      <c r="N879" s="25"/>
    </row>
    <row r="880">
      <c r="A880" s="25"/>
      <c r="B880" s="25"/>
      <c r="C880" s="121"/>
      <c r="D880" s="121"/>
      <c r="E880" s="121"/>
      <c r="F880" s="121"/>
      <c r="G880" s="121"/>
      <c r="H880" s="121"/>
      <c r="I880" s="121"/>
      <c r="J880" s="121"/>
      <c r="K880" s="121"/>
      <c r="L880" s="121"/>
      <c r="M880" s="122"/>
      <c r="N880" s="25"/>
    </row>
    <row r="881">
      <c r="A881" s="25"/>
      <c r="B881" s="25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2"/>
      <c r="N881" s="25"/>
    </row>
    <row r="882">
      <c r="A882" s="25"/>
      <c r="B882" s="25"/>
      <c r="C882" s="121"/>
      <c r="D882" s="121"/>
      <c r="E882" s="121"/>
      <c r="F882" s="121"/>
      <c r="G882" s="121"/>
      <c r="H882" s="121"/>
      <c r="I882" s="121"/>
      <c r="J882" s="121"/>
      <c r="K882" s="121"/>
      <c r="L882" s="121"/>
      <c r="M882" s="122"/>
      <c r="N882" s="25"/>
    </row>
    <row r="883">
      <c r="A883" s="25"/>
      <c r="B883" s="25"/>
      <c r="C883" s="121"/>
      <c r="D883" s="121"/>
      <c r="E883" s="121"/>
      <c r="F883" s="121"/>
      <c r="G883" s="121"/>
      <c r="H883" s="121"/>
      <c r="I883" s="121"/>
      <c r="J883" s="121"/>
      <c r="K883" s="121"/>
      <c r="L883" s="121"/>
      <c r="M883" s="122"/>
      <c r="N883" s="25"/>
    </row>
    <row r="884">
      <c r="A884" s="25"/>
      <c r="B884" s="25"/>
      <c r="C884" s="121"/>
      <c r="D884" s="121"/>
      <c r="E884" s="121"/>
      <c r="F884" s="121"/>
      <c r="G884" s="121"/>
      <c r="H884" s="121"/>
      <c r="I884" s="121"/>
      <c r="J884" s="121"/>
      <c r="K884" s="121"/>
      <c r="L884" s="121"/>
      <c r="M884" s="122"/>
      <c r="N884" s="25"/>
    </row>
    <row r="885">
      <c r="A885" s="25"/>
      <c r="B885" s="25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2"/>
      <c r="N885" s="25"/>
    </row>
    <row r="886">
      <c r="A886" s="25"/>
      <c r="B886" s="25"/>
      <c r="C886" s="121"/>
      <c r="D886" s="121"/>
      <c r="E886" s="121"/>
      <c r="F886" s="121"/>
      <c r="G886" s="121"/>
      <c r="H886" s="121"/>
      <c r="I886" s="121"/>
      <c r="J886" s="121"/>
      <c r="K886" s="121"/>
      <c r="L886" s="121"/>
      <c r="M886" s="122"/>
      <c r="N886" s="25"/>
    </row>
    <row r="887">
      <c r="A887" s="25"/>
      <c r="B887" s="25"/>
      <c r="C887" s="121"/>
      <c r="D887" s="121"/>
      <c r="E887" s="121"/>
      <c r="F887" s="121"/>
      <c r="G887" s="121"/>
      <c r="H887" s="121"/>
      <c r="I887" s="121"/>
      <c r="J887" s="121"/>
      <c r="K887" s="121"/>
      <c r="L887" s="121"/>
      <c r="M887" s="122"/>
      <c r="N887" s="25"/>
    </row>
    <row r="888">
      <c r="A888" s="25"/>
      <c r="B888" s="25"/>
      <c r="C888" s="121"/>
      <c r="D888" s="121"/>
      <c r="E888" s="121"/>
      <c r="F888" s="121"/>
      <c r="G888" s="121"/>
      <c r="H888" s="121"/>
      <c r="I888" s="121"/>
      <c r="J888" s="121"/>
      <c r="K888" s="121"/>
      <c r="L888" s="121"/>
      <c r="M888" s="122"/>
      <c r="N888" s="25"/>
    </row>
    <row r="889">
      <c r="A889" s="25"/>
      <c r="B889" s="25"/>
      <c r="C889" s="121"/>
      <c r="D889" s="121"/>
      <c r="E889" s="121"/>
      <c r="F889" s="121"/>
      <c r="G889" s="121"/>
      <c r="H889" s="121"/>
      <c r="I889" s="121"/>
      <c r="J889" s="121"/>
      <c r="K889" s="121"/>
      <c r="L889" s="121"/>
      <c r="M889" s="122"/>
      <c r="N889" s="25"/>
    </row>
    <row r="890">
      <c r="A890" s="25"/>
      <c r="B890" s="25"/>
      <c r="C890" s="121"/>
      <c r="D890" s="121"/>
      <c r="E890" s="121"/>
      <c r="F890" s="121"/>
      <c r="G890" s="121"/>
      <c r="H890" s="121"/>
      <c r="I890" s="121"/>
      <c r="J890" s="121"/>
      <c r="K890" s="121"/>
      <c r="L890" s="121"/>
      <c r="M890" s="122"/>
      <c r="N890" s="25"/>
    </row>
    <row r="891">
      <c r="A891" s="25"/>
      <c r="B891" s="25"/>
      <c r="C891" s="121"/>
      <c r="D891" s="121"/>
      <c r="E891" s="121"/>
      <c r="F891" s="121"/>
      <c r="G891" s="121"/>
      <c r="H891" s="121"/>
      <c r="I891" s="121"/>
      <c r="J891" s="121"/>
      <c r="K891" s="121"/>
      <c r="L891" s="121"/>
      <c r="M891" s="122"/>
      <c r="N891" s="25"/>
    </row>
    <row r="892">
      <c r="A892" s="25"/>
      <c r="B892" s="25"/>
      <c r="C892" s="121"/>
      <c r="D892" s="121"/>
      <c r="E892" s="121"/>
      <c r="F892" s="121"/>
      <c r="G892" s="121"/>
      <c r="H892" s="121"/>
      <c r="I892" s="121"/>
      <c r="J892" s="121"/>
      <c r="K892" s="121"/>
      <c r="L892" s="121"/>
      <c r="M892" s="122"/>
      <c r="N892" s="25"/>
    </row>
    <row r="893">
      <c r="A893" s="25"/>
      <c r="B893" s="25"/>
      <c r="C893" s="121"/>
      <c r="D893" s="121"/>
      <c r="E893" s="121"/>
      <c r="F893" s="121"/>
      <c r="G893" s="121"/>
      <c r="H893" s="121"/>
      <c r="I893" s="121"/>
      <c r="J893" s="121"/>
      <c r="K893" s="121"/>
      <c r="L893" s="121"/>
      <c r="M893" s="122"/>
      <c r="N893" s="25"/>
    </row>
    <row r="894">
      <c r="A894" s="25"/>
      <c r="B894" s="25"/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2"/>
      <c r="N894" s="25"/>
    </row>
    <row r="895">
      <c r="A895" s="25"/>
      <c r="B895" s="25"/>
      <c r="C895" s="121"/>
      <c r="D895" s="121"/>
      <c r="E895" s="121"/>
      <c r="F895" s="121"/>
      <c r="G895" s="121"/>
      <c r="H895" s="121"/>
      <c r="I895" s="121"/>
      <c r="J895" s="121"/>
      <c r="K895" s="121"/>
      <c r="L895" s="121"/>
      <c r="M895" s="122"/>
      <c r="N895" s="25"/>
    </row>
    <row r="896">
      <c r="A896" s="25"/>
      <c r="B896" s="25"/>
      <c r="C896" s="121"/>
      <c r="D896" s="121"/>
      <c r="E896" s="121"/>
      <c r="F896" s="121"/>
      <c r="G896" s="121"/>
      <c r="H896" s="121"/>
      <c r="I896" s="121"/>
      <c r="J896" s="121"/>
      <c r="K896" s="121"/>
      <c r="L896" s="121"/>
      <c r="M896" s="122"/>
      <c r="N896" s="25"/>
    </row>
    <row r="897">
      <c r="A897" s="25"/>
      <c r="B897" s="25"/>
      <c r="C897" s="121"/>
      <c r="D897" s="121"/>
      <c r="E897" s="121"/>
      <c r="F897" s="121"/>
      <c r="G897" s="121"/>
      <c r="H897" s="121"/>
      <c r="I897" s="121"/>
      <c r="J897" s="121"/>
      <c r="K897" s="121"/>
      <c r="L897" s="121"/>
      <c r="M897" s="122"/>
      <c r="N897" s="25"/>
    </row>
    <row r="898">
      <c r="A898" s="25"/>
      <c r="B898" s="25"/>
      <c r="C898" s="121"/>
      <c r="D898" s="121"/>
      <c r="E898" s="121"/>
      <c r="F898" s="121"/>
      <c r="G898" s="121"/>
      <c r="H898" s="121"/>
      <c r="I898" s="121"/>
      <c r="J898" s="121"/>
      <c r="K898" s="121"/>
      <c r="L898" s="121"/>
      <c r="M898" s="122"/>
      <c r="N898" s="25"/>
    </row>
    <row r="899">
      <c r="A899" s="25"/>
      <c r="B899" s="25"/>
      <c r="C899" s="121"/>
      <c r="D899" s="121"/>
      <c r="E899" s="121"/>
      <c r="F899" s="121"/>
      <c r="G899" s="121"/>
      <c r="H899" s="121"/>
      <c r="I899" s="121"/>
      <c r="J899" s="121"/>
      <c r="K899" s="121"/>
      <c r="L899" s="121"/>
      <c r="M899" s="122"/>
      <c r="N899" s="25"/>
    </row>
    <row r="900">
      <c r="A900" s="25"/>
      <c r="B900" s="25"/>
      <c r="C900" s="121"/>
      <c r="D900" s="121"/>
      <c r="E900" s="121"/>
      <c r="F900" s="121"/>
      <c r="G900" s="121"/>
      <c r="H900" s="121"/>
      <c r="I900" s="121"/>
      <c r="J900" s="121"/>
      <c r="K900" s="121"/>
      <c r="L900" s="121"/>
      <c r="M900" s="122"/>
      <c r="N900" s="25"/>
    </row>
    <row r="901">
      <c r="A901" s="25"/>
      <c r="B901" s="25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2"/>
      <c r="N901" s="25"/>
    </row>
    <row r="902">
      <c r="A902" s="25"/>
      <c r="B902" s="25"/>
      <c r="C902" s="121"/>
      <c r="D902" s="121"/>
      <c r="E902" s="121"/>
      <c r="F902" s="121"/>
      <c r="G902" s="121"/>
      <c r="H902" s="121"/>
      <c r="I902" s="121"/>
      <c r="J902" s="121"/>
      <c r="K902" s="121"/>
      <c r="L902" s="121"/>
      <c r="M902" s="122"/>
      <c r="N902" s="25"/>
    </row>
    <row r="903">
      <c r="A903" s="25"/>
      <c r="B903" s="25"/>
      <c r="C903" s="121"/>
      <c r="D903" s="121"/>
      <c r="E903" s="121"/>
      <c r="F903" s="121"/>
      <c r="G903" s="121"/>
      <c r="H903" s="121"/>
      <c r="I903" s="121"/>
      <c r="J903" s="121"/>
      <c r="K903" s="121"/>
      <c r="L903" s="121"/>
      <c r="M903" s="122"/>
      <c r="N903" s="25"/>
    </row>
    <row r="904">
      <c r="A904" s="25"/>
      <c r="B904" s="25"/>
      <c r="C904" s="121"/>
      <c r="D904" s="121"/>
      <c r="E904" s="121"/>
      <c r="F904" s="121"/>
      <c r="G904" s="121"/>
      <c r="H904" s="121"/>
      <c r="I904" s="121"/>
      <c r="J904" s="121"/>
      <c r="K904" s="121"/>
      <c r="L904" s="121"/>
      <c r="M904" s="122"/>
      <c r="N904" s="25"/>
    </row>
    <row r="905">
      <c r="A905" s="25"/>
      <c r="B905" s="25"/>
      <c r="C905" s="121"/>
      <c r="D905" s="121"/>
      <c r="E905" s="121"/>
      <c r="F905" s="121"/>
      <c r="G905" s="121"/>
      <c r="H905" s="121"/>
      <c r="I905" s="121"/>
      <c r="J905" s="121"/>
      <c r="K905" s="121"/>
      <c r="L905" s="121"/>
      <c r="M905" s="122"/>
      <c r="N905" s="25"/>
    </row>
    <row r="906">
      <c r="A906" s="25"/>
      <c r="B906" s="25"/>
      <c r="C906" s="121"/>
      <c r="D906" s="121"/>
      <c r="E906" s="121"/>
      <c r="F906" s="121"/>
      <c r="G906" s="121"/>
      <c r="H906" s="121"/>
      <c r="I906" s="121"/>
      <c r="J906" s="121"/>
      <c r="K906" s="121"/>
      <c r="L906" s="121"/>
      <c r="M906" s="122"/>
      <c r="N906" s="25"/>
    </row>
    <row r="907">
      <c r="A907" s="25"/>
      <c r="B907" s="25"/>
      <c r="C907" s="121"/>
      <c r="D907" s="121"/>
      <c r="E907" s="121"/>
      <c r="F907" s="121"/>
      <c r="G907" s="121"/>
      <c r="H907" s="121"/>
      <c r="I907" s="121"/>
      <c r="J907" s="121"/>
      <c r="K907" s="121"/>
      <c r="L907" s="121"/>
      <c r="M907" s="122"/>
      <c r="N907" s="25"/>
    </row>
    <row r="908">
      <c r="A908" s="25"/>
      <c r="B908" s="25"/>
      <c r="C908" s="121"/>
      <c r="D908" s="121"/>
      <c r="E908" s="121"/>
      <c r="F908" s="121"/>
      <c r="G908" s="121"/>
      <c r="H908" s="121"/>
      <c r="I908" s="121"/>
      <c r="J908" s="121"/>
      <c r="K908" s="121"/>
      <c r="L908" s="121"/>
      <c r="M908" s="122"/>
      <c r="N908" s="25"/>
    </row>
    <row r="909">
      <c r="A909" s="25"/>
      <c r="B909" s="25"/>
      <c r="C909" s="121"/>
      <c r="D909" s="121"/>
      <c r="E909" s="121"/>
      <c r="F909" s="121"/>
      <c r="G909" s="121"/>
      <c r="H909" s="121"/>
      <c r="I909" s="121"/>
      <c r="J909" s="121"/>
      <c r="K909" s="121"/>
      <c r="L909" s="121"/>
      <c r="M909" s="122"/>
      <c r="N909" s="25"/>
    </row>
    <row r="910">
      <c r="A910" s="25"/>
      <c r="B910" s="25"/>
      <c r="C910" s="121"/>
      <c r="D910" s="121"/>
      <c r="E910" s="121"/>
      <c r="F910" s="121"/>
      <c r="G910" s="121"/>
      <c r="H910" s="121"/>
      <c r="I910" s="121"/>
      <c r="J910" s="121"/>
      <c r="K910" s="121"/>
      <c r="L910" s="121"/>
      <c r="M910" s="122"/>
      <c r="N910" s="25"/>
    </row>
    <row r="911">
      <c r="A911" s="25"/>
      <c r="B911" s="25"/>
      <c r="C911" s="121"/>
      <c r="D911" s="121"/>
      <c r="E911" s="121"/>
      <c r="F911" s="121"/>
      <c r="G911" s="121"/>
      <c r="H911" s="121"/>
      <c r="I911" s="121"/>
      <c r="J911" s="121"/>
      <c r="K911" s="121"/>
      <c r="L911" s="121"/>
      <c r="M911" s="122"/>
      <c r="N911" s="25"/>
    </row>
    <row r="912">
      <c r="A912" s="25"/>
      <c r="B912" s="25"/>
      <c r="C912" s="121"/>
      <c r="D912" s="121"/>
      <c r="E912" s="121"/>
      <c r="F912" s="121"/>
      <c r="G912" s="121"/>
      <c r="H912" s="121"/>
      <c r="I912" s="121"/>
      <c r="J912" s="121"/>
      <c r="K912" s="121"/>
      <c r="L912" s="121"/>
      <c r="M912" s="122"/>
      <c r="N912" s="25"/>
    </row>
    <row r="913">
      <c r="A913" s="25"/>
      <c r="B913" s="25"/>
      <c r="C913" s="121"/>
      <c r="D913" s="121"/>
      <c r="E913" s="121"/>
      <c r="F913" s="121"/>
      <c r="G913" s="121"/>
      <c r="H913" s="121"/>
      <c r="I913" s="121"/>
      <c r="J913" s="121"/>
      <c r="K913" s="121"/>
      <c r="L913" s="121"/>
      <c r="M913" s="122"/>
      <c r="N913" s="25"/>
    </row>
    <row r="914">
      <c r="A914" s="25"/>
      <c r="B914" s="25"/>
      <c r="C914" s="121"/>
      <c r="D914" s="121"/>
      <c r="E914" s="121"/>
      <c r="F914" s="121"/>
      <c r="G914" s="121"/>
      <c r="H914" s="121"/>
      <c r="I914" s="121"/>
      <c r="J914" s="121"/>
      <c r="K914" s="121"/>
      <c r="L914" s="121"/>
      <c r="M914" s="122"/>
      <c r="N914" s="25"/>
    </row>
    <row r="915">
      <c r="A915" s="25"/>
      <c r="B915" s="25"/>
      <c r="C915" s="121"/>
      <c r="D915" s="121"/>
      <c r="E915" s="121"/>
      <c r="F915" s="121"/>
      <c r="G915" s="121"/>
      <c r="H915" s="121"/>
      <c r="I915" s="121"/>
      <c r="J915" s="121"/>
      <c r="K915" s="121"/>
      <c r="L915" s="121"/>
      <c r="M915" s="122"/>
      <c r="N915" s="25"/>
    </row>
    <row r="916">
      <c r="A916" s="25"/>
      <c r="B916" s="25"/>
      <c r="C916" s="121"/>
      <c r="D916" s="121"/>
      <c r="E916" s="121"/>
      <c r="F916" s="121"/>
      <c r="G916" s="121"/>
      <c r="H916" s="121"/>
      <c r="I916" s="121"/>
      <c r="J916" s="121"/>
      <c r="K916" s="121"/>
      <c r="L916" s="121"/>
      <c r="M916" s="122"/>
      <c r="N916" s="25"/>
    </row>
    <row r="917">
      <c r="A917" s="25"/>
      <c r="B917" s="25"/>
      <c r="C917" s="121"/>
      <c r="D917" s="121"/>
      <c r="E917" s="121"/>
      <c r="F917" s="121"/>
      <c r="G917" s="121"/>
      <c r="H917" s="121"/>
      <c r="I917" s="121"/>
      <c r="J917" s="121"/>
      <c r="K917" s="121"/>
      <c r="L917" s="121"/>
      <c r="M917" s="122"/>
      <c r="N917" s="25"/>
    </row>
    <row r="918">
      <c r="A918" s="25"/>
      <c r="B918" s="25"/>
      <c r="C918" s="121"/>
      <c r="D918" s="121"/>
      <c r="E918" s="121"/>
      <c r="F918" s="121"/>
      <c r="G918" s="121"/>
      <c r="H918" s="121"/>
      <c r="I918" s="121"/>
      <c r="J918" s="121"/>
      <c r="K918" s="121"/>
      <c r="L918" s="121"/>
      <c r="M918" s="122"/>
      <c r="N918" s="25"/>
    </row>
    <row r="919">
      <c r="A919" s="25"/>
      <c r="B919" s="25"/>
      <c r="C919" s="121"/>
      <c r="D919" s="121"/>
      <c r="E919" s="121"/>
      <c r="F919" s="121"/>
      <c r="G919" s="121"/>
      <c r="H919" s="121"/>
      <c r="I919" s="121"/>
      <c r="J919" s="121"/>
      <c r="K919" s="121"/>
      <c r="L919" s="121"/>
      <c r="M919" s="122"/>
      <c r="N919" s="25"/>
    </row>
    <row r="920">
      <c r="A920" s="25"/>
      <c r="B920" s="25"/>
      <c r="C920" s="121"/>
      <c r="D920" s="121"/>
      <c r="E920" s="121"/>
      <c r="F920" s="121"/>
      <c r="G920" s="121"/>
      <c r="H920" s="121"/>
      <c r="I920" s="121"/>
      <c r="J920" s="121"/>
      <c r="K920" s="121"/>
      <c r="L920" s="121"/>
      <c r="M920" s="122"/>
      <c r="N920" s="25"/>
    </row>
    <row r="921">
      <c r="A921" s="25"/>
      <c r="B921" s="25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2"/>
      <c r="N921" s="25"/>
    </row>
    <row r="922">
      <c r="A922" s="25"/>
      <c r="B922" s="25"/>
      <c r="C922" s="121"/>
      <c r="D922" s="121"/>
      <c r="E922" s="121"/>
      <c r="F922" s="121"/>
      <c r="G922" s="121"/>
      <c r="H922" s="121"/>
      <c r="I922" s="121"/>
      <c r="J922" s="121"/>
      <c r="K922" s="121"/>
      <c r="L922" s="121"/>
      <c r="M922" s="122"/>
      <c r="N922" s="25"/>
    </row>
    <row r="923">
      <c r="A923" s="25"/>
      <c r="B923" s="25"/>
      <c r="C923" s="121"/>
      <c r="D923" s="121"/>
      <c r="E923" s="121"/>
      <c r="F923" s="121"/>
      <c r="G923" s="121"/>
      <c r="H923" s="121"/>
      <c r="I923" s="121"/>
      <c r="J923" s="121"/>
      <c r="K923" s="121"/>
      <c r="L923" s="121"/>
      <c r="M923" s="122"/>
      <c r="N923" s="25"/>
    </row>
    <row r="924">
      <c r="A924" s="25"/>
      <c r="B924" s="25"/>
      <c r="C924" s="121"/>
      <c r="D924" s="121"/>
      <c r="E924" s="121"/>
      <c r="F924" s="121"/>
      <c r="G924" s="121"/>
      <c r="H924" s="121"/>
      <c r="I924" s="121"/>
      <c r="J924" s="121"/>
      <c r="K924" s="121"/>
      <c r="L924" s="121"/>
      <c r="M924" s="122"/>
      <c r="N924" s="25"/>
    </row>
    <row r="925">
      <c r="A925" s="25"/>
      <c r="B925" s="25"/>
      <c r="C925" s="121"/>
      <c r="D925" s="121"/>
      <c r="E925" s="121"/>
      <c r="F925" s="121"/>
      <c r="G925" s="121"/>
      <c r="H925" s="121"/>
      <c r="I925" s="121"/>
      <c r="J925" s="121"/>
      <c r="K925" s="121"/>
      <c r="L925" s="121"/>
      <c r="M925" s="122"/>
      <c r="N925" s="25"/>
    </row>
    <row r="926">
      <c r="A926" s="25"/>
      <c r="B926" s="25"/>
      <c r="C926" s="121"/>
      <c r="D926" s="121"/>
      <c r="E926" s="121"/>
      <c r="F926" s="121"/>
      <c r="G926" s="121"/>
      <c r="H926" s="121"/>
      <c r="I926" s="121"/>
      <c r="J926" s="121"/>
      <c r="K926" s="121"/>
      <c r="L926" s="121"/>
      <c r="M926" s="122"/>
      <c r="N926" s="25"/>
    </row>
    <row r="927">
      <c r="A927" s="25"/>
      <c r="B927" s="25"/>
      <c r="C927" s="121"/>
      <c r="D927" s="121"/>
      <c r="E927" s="121"/>
      <c r="F927" s="121"/>
      <c r="G927" s="121"/>
      <c r="H927" s="121"/>
      <c r="I927" s="121"/>
      <c r="J927" s="121"/>
      <c r="K927" s="121"/>
      <c r="L927" s="121"/>
      <c r="M927" s="122"/>
      <c r="N927" s="25"/>
    </row>
    <row r="928">
      <c r="A928" s="25"/>
      <c r="B928" s="25"/>
      <c r="C928" s="121"/>
      <c r="D928" s="121"/>
      <c r="E928" s="121"/>
      <c r="F928" s="121"/>
      <c r="G928" s="121"/>
      <c r="H928" s="121"/>
      <c r="I928" s="121"/>
      <c r="J928" s="121"/>
      <c r="K928" s="121"/>
      <c r="L928" s="121"/>
      <c r="M928" s="122"/>
      <c r="N928" s="25"/>
    </row>
    <row r="929">
      <c r="A929" s="25"/>
      <c r="B929" s="25"/>
      <c r="C929" s="121"/>
      <c r="D929" s="121"/>
      <c r="E929" s="121"/>
      <c r="F929" s="121"/>
      <c r="G929" s="121"/>
      <c r="H929" s="121"/>
      <c r="I929" s="121"/>
      <c r="J929" s="121"/>
      <c r="K929" s="121"/>
      <c r="L929" s="121"/>
      <c r="M929" s="122"/>
      <c r="N929" s="25"/>
    </row>
    <row r="930">
      <c r="A930" s="25"/>
      <c r="B930" s="25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2"/>
      <c r="N930" s="25"/>
    </row>
    <row r="931">
      <c r="A931" s="25"/>
      <c r="B931" s="25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2"/>
      <c r="N931" s="25"/>
    </row>
    <row r="932">
      <c r="A932" s="25"/>
      <c r="B932" s="25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2"/>
      <c r="N932" s="25"/>
    </row>
    <row r="933">
      <c r="A933" s="25"/>
      <c r="B933" s="25"/>
      <c r="C933" s="121"/>
      <c r="D933" s="121"/>
      <c r="E933" s="121"/>
      <c r="F933" s="121"/>
      <c r="G933" s="121"/>
      <c r="H933" s="121"/>
      <c r="I933" s="121"/>
      <c r="J933" s="121"/>
      <c r="K933" s="121"/>
      <c r="L933" s="121"/>
      <c r="M933" s="122"/>
      <c r="N933" s="25"/>
    </row>
    <row r="934">
      <c r="A934" s="25"/>
      <c r="B934" s="25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2"/>
      <c r="N934" s="25"/>
    </row>
    <row r="935">
      <c r="A935" s="25"/>
      <c r="B935" s="25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2"/>
      <c r="N935" s="25"/>
    </row>
    <row r="936">
      <c r="A936" s="25"/>
      <c r="B936" s="25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2"/>
      <c r="N936" s="25"/>
    </row>
    <row r="937">
      <c r="A937" s="25"/>
      <c r="B937" s="25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2"/>
      <c r="N937" s="25"/>
    </row>
    <row r="938">
      <c r="A938" s="25"/>
      <c r="B938" s="25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2"/>
      <c r="N938" s="25"/>
    </row>
    <row r="939">
      <c r="A939" s="25"/>
      <c r="B939" s="25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2"/>
      <c r="N939" s="25"/>
    </row>
    <row r="940">
      <c r="A940" s="25"/>
      <c r="B940" s="25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2"/>
      <c r="N940" s="25"/>
    </row>
    <row r="941">
      <c r="A941" s="25"/>
      <c r="B941" s="25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2"/>
      <c r="N941" s="25"/>
    </row>
    <row r="942">
      <c r="A942" s="25"/>
      <c r="B942" s="25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2"/>
      <c r="N942" s="25"/>
    </row>
    <row r="943">
      <c r="A943" s="25"/>
      <c r="B943" s="25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2"/>
      <c r="N943" s="25"/>
    </row>
    <row r="944">
      <c r="A944" s="25"/>
      <c r="B944" s="25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2"/>
      <c r="N944" s="25"/>
    </row>
    <row r="945">
      <c r="A945" s="25"/>
      <c r="B945" s="25"/>
      <c r="C945" s="121"/>
      <c r="D945" s="121"/>
      <c r="E945" s="121"/>
      <c r="F945" s="121"/>
      <c r="G945" s="121"/>
      <c r="H945" s="121"/>
      <c r="I945" s="121"/>
      <c r="J945" s="121"/>
      <c r="K945" s="121"/>
      <c r="L945" s="121"/>
      <c r="M945" s="122"/>
      <c r="N945" s="25"/>
    </row>
    <row r="946">
      <c r="A946" s="25"/>
      <c r="B946" s="25"/>
      <c r="C946" s="121"/>
      <c r="D946" s="121"/>
      <c r="E946" s="121"/>
      <c r="F946" s="121"/>
      <c r="G946" s="121"/>
      <c r="H946" s="121"/>
      <c r="I946" s="121"/>
      <c r="J946" s="121"/>
      <c r="K946" s="121"/>
      <c r="L946" s="121"/>
      <c r="M946" s="122"/>
      <c r="N946" s="25"/>
    </row>
    <row r="947">
      <c r="A947" s="25"/>
      <c r="B947" s="25"/>
      <c r="C947" s="121"/>
      <c r="D947" s="121"/>
      <c r="E947" s="121"/>
      <c r="F947" s="121"/>
      <c r="G947" s="121"/>
      <c r="H947" s="121"/>
      <c r="I947" s="121"/>
      <c r="J947" s="121"/>
      <c r="K947" s="121"/>
      <c r="L947" s="121"/>
      <c r="M947" s="122"/>
      <c r="N947" s="25"/>
    </row>
    <row r="948">
      <c r="A948" s="25"/>
      <c r="B948" s="25"/>
      <c r="C948" s="121"/>
      <c r="D948" s="121"/>
      <c r="E948" s="121"/>
      <c r="F948" s="121"/>
      <c r="G948" s="121"/>
      <c r="H948" s="121"/>
      <c r="I948" s="121"/>
      <c r="J948" s="121"/>
      <c r="K948" s="121"/>
      <c r="L948" s="121"/>
      <c r="M948" s="122"/>
      <c r="N948" s="25"/>
    </row>
    <row r="949">
      <c r="A949" s="25"/>
      <c r="B949" s="25"/>
      <c r="C949" s="121"/>
      <c r="D949" s="121"/>
      <c r="E949" s="121"/>
      <c r="F949" s="121"/>
      <c r="G949" s="121"/>
      <c r="H949" s="121"/>
      <c r="I949" s="121"/>
      <c r="J949" s="121"/>
      <c r="K949" s="121"/>
      <c r="L949" s="121"/>
      <c r="M949" s="122"/>
      <c r="N949" s="25"/>
    </row>
    <row r="950">
      <c r="A950" s="25"/>
      <c r="B950" s="25"/>
      <c r="C950" s="121"/>
      <c r="D950" s="121"/>
      <c r="E950" s="121"/>
      <c r="F950" s="121"/>
      <c r="G950" s="121"/>
      <c r="H950" s="121"/>
      <c r="I950" s="121"/>
      <c r="J950" s="121"/>
      <c r="K950" s="121"/>
      <c r="L950" s="121"/>
      <c r="M950" s="122"/>
      <c r="N950" s="25"/>
    </row>
    <row r="951">
      <c r="A951" s="25"/>
      <c r="B951" s="25"/>
      <c r="C951" s="121"/>
      <c r="D951" s="121"/>
      <c r="E951" s="121"/>
      <c r="F951" s="121"/>
      <c r="G951" s="121"/>
      <c r="H951" s="121"/>
      <c r="I951" s="121"/>
      <c r="J951" s="121"/>
      <c r="K951" s="121"/>
      <c r="L951" s="121"/>
      <c r="M951" s="122"/>
      <c r="N951" s="25"/>
    </row>
    <row r="952">
      <c r="A952" s="25"/>
      <c r="B952" s="25"/>
      <c r="C952" s="121"/>
      <c r="D952" s="121"/>
      <c r="E952" s="121"/>
      <c r="F952" s="121"/>
      <c r="G952" s="121"/>
      <c r="H952" s="121"/>
      <c r="I952" s="121"/>
      <c r="J952" s="121"/>
      <c r="K952" s="121"/>
      <c r="L952" s="121"/>
      <c r="M952" s="122"/>
      <c r="N952" s="25"/>
    </row>
    <row r="953">
      <c r="A953" s="25"/>
      <c r="B953" s="25"/>
      <c r="C953" s="121"/>
      <c r="D953" s="121"/>
      <c r="E953" s="121"/>
      <c r="F953" s="121"/>
      <c r="G953" s="121"/>
      <c r="H953" s="121"/>
      <c r="I953" s="121"/>
      <c r="J953" s="121"/>
      <c r="K953" s="121"/>
      <c r="L953" s="121"/>
      <c r="M953" s="122"/>
      <c r="N953" s="25"/>
    </row>
    <row r="954">
      <c r="A954" s="25"/>
      <c r="B954" s="25"/>
      <c r="C954" s="121"/>
      <c r="D954" s="121"/>
      <c r="E954" s="121"/>
      <c r="F954" s="121"/>
      <c r="G954" s="121"/>
      <c r="H954" s="121"/>
      <c r="I954" s="121"/>
      <c r="J954" s="121"/>
      <c r="K954" s="121"/>
      <c r="L954" s="121"/>
      <c r="M954" s="122"/>
      <c r="N954" s="25"/>
    </row>
    <row r="955">
      <c r="A955" s="25"/>
      <c r="B955" s="25"/>
      <c r="C955" s="121"/>
      <c r="D955" s="121"/>
      <c r="E955" s="121"/>
      <c r="F955" s="121"/>
      <c r="G955" s="121"/>
      <c r="H955" s="121"/>
      <c r="I955" s="121"/>
      <c r="J955" s="121"/>
      <c r="K955" s="121"/>
      <c r="L955" s="121"/>
      <c r="M955" s="122"/>
      <c r="N955" s="25"/>
    </row>
    <row r="956">
      <c r="A956" s="25"/>
      <c r="B956" s="25"/>
      <c r="C956" s="121"/>
      <c r="D956" s="121"/>
      <c r="E956" s="121"/>
      <c r="F956" s="121"/>
      <c r="G956" s="121"/>
      <c r="H956" s="121"/>
      <c r="I956" s="121"/>
      <c r="J956" s="121"/>
      <c r="K956" s="121"/>
      <c r="L956" s="121"/>
      <c r="M956" s="122"/>
      <c r="N956" s="25"/>
    </row>
    <row r="957">
      <c r="A957" s="25"/>
      <c r="B957" s="25"/>
      <c r="C957" s="121"/>
      <c r="D957" s="121"/>
      <c r="E957" s="121"/>
      <c r="F957" s="121"/>
      <c r="G957" s="121"/>
      <c r="H957" s="121"/>
      <c r="I957" s="121"/>
      <c r="J957" s="121"/>
      <c r="K957" s="121"/>
      <c r="L957" s="121"/>
      <c r="M957" s="122"/>
      <c r="N957" s="25"/>
    </row>
    <row r="958">
      <c r="A958" s="25"/>
      <c r="B958" s="25"/>
      <c r="C958" s="121"/>
      <c r="D958" s="121"/>
      <c r="E958" s="121"/>
      <c r="F958" s="121"/>
      <c r="G958" s="121"/>
      <c r="H958" s="121"/>
      <c r="I958" s="121"/>
      <c r="J958" s="121"/>
      <c r="K958" s="121"/>
      <c r="L958" s="121"/>
      <c r="M958" s="122"/>
      <c r="N958" s="25"/>
    </row>
    <row r="959">
      <c r="A959" s="25"/>
      <c r="B959" s="25"/>
      <c r="C959" s="121"/>
      <c r="D959" s="121"/>
      <c r="E959" s="121"/>
      <c r="F959" s="121"/>
      <c r="G959" s="121"/>
      <c r="H959" s="121"/>
      <c r="I959" s="121"/>
      <c r="J959" s="121"/>
      <c r="K959" s="121"/>
      <c r="L959" s="121"/>
      <c r="M959" s="122"/>
      <c r="N959" s="25"/>
    </row>
    <row r="960">
      <c r="A960" s="25"/>
      <c r="B960" s="25"/>
      <c r="C960" s="121"/>
      <c r="D960" s="121"/>
      <c r="E960" s="121"/>
      <c r="F960" s="121"/>
      <c r="G960" s="121"/>
      <c r="H960" s="121"/>
      <c r="I960" s="121"/>
      <c r="J960" s="121"/>
      <c r="K960" s="121"/>
      <c r="L960" s="121"/>
      <c r="M960" s="122"/>
      <c r="N960" s="25"/>
    </row>
    <row r="961">
      <c r="A961" s="25"/>
      <c r="B961" s="25"/>
      <c r="C961" s="121"/>
      <c r="D961" s="121"/>
      <c r="E961" s="121"/>
      <c r="F961" s="121"/>
      <c r="G961" s="121"/>
      <c r="H961" s="121"/>
      <c r="I961" s="121"/>
      <c r="J961" s="121"/>
      <c r="K961" s="121"/>
      <c r="L961" s="121"/>
      <c r="M961" s="122"/>
      <c r="N961" s="25"/>
    </row>
    <row r="962">
      <c r="A962" s="25"/>
      <c r="B962" s="25"/>
      <c r="C962" s="121"/>
      <c r="D962" s="121"/>
      <c r="E962" s="121"/>
      <c r="F962" s="121"/>
      <c r="G962" s="121"/>
      <c r="H962" s="121"/>
      <c r="I962" s="121"/>
      <c r="J962" s="121"/>
      <c r="K962" s="121"/>
      <c r="L962" s="121"/>
      <c r="M962" s="122"/>
      <c r="N962" s="25"/>
    </row>
    <row r="963">
      <c r="A963" s="25"/>
      <c r="B963" s="25"/>
      <c r="C963" s="121"/>
      <c r="D963" s="121"/>
      <c r="E963" s="121"/>
      <c r="F963" s="121"/>
      <c r="G963" s="121"/>
      <c r="H963" s="121"/>
      <c r="I963" s="121"/>
      <c r="J963" s="121"/>
      <c r="K963" s="121"/>
      <c r="L963" s="121"/>
      <c r="M963" s="122"/>
      <c r="N963" s="25"/>
    </row>
    <row r="964">
      <c r="A964" s="25"/>
      <c r="B964" s="25"/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2"/>
      <c r="N964" s="25"/>
    </row>
    <row r="965">
      <c r="A965" s="25"/>
      <c r="B965" s="25"/>
      <c r="C965" s="121"/>
      <c r="D965" s="121"/>
      <c r="E965" s="121"/>
      <c r="F965" s="121"/>
      <c r="G965" s="121"/>
      <c r="H965" s="121"/>
      <c r="I965" s="121"/>
      <c r="J965" s="121"/>
      <c r="K965" s="121"/>
      <c r="L965" s="121"/>
      <c r="M965" s="122"/>
      <c r="N965" s="25"/>
    </row>
    <row r="966">
      <c r="A966" s="25"/>
      <c r="B966" s="25"/>
      <c r="C966" s="121"/>
      <c r="D966" s="121"/>
      <c r="E966" s="121"/>
      <c r="F966" s="121"/>
      <c r="G966" s="121"/>
      <c r="H966" s="121"/>
      <c r="I966" s="121"/>
      <c r="J966" s="121"/>
      <c r="K966" s="121"/>
      <c r="L966" s="121"/>
      <c r="M966" s="122"/>
      <c r="N966" s="25"/>
    </row>
    <row r="967">
      <c r="A967" s="25"/>
      <c r="B967" s="25"/>
      <c r="C967" s="121"/>
      <c r="D967" s="121"/>
      <c r="E967" s="121"/>
      <c r="F967" s="121"/>
      <c r="G967" s="121"/>
      <c r="H967" s="121"/>
      <c r="I967" s="121"/>
      <c r="J967" s="121"/>
      <c r="K967" s="121"/>
      <c r="L967" s="121"/>
      <c r="M967" s="122"/>
      <c r="N967" s="25"/>
    </row>
    <row r="968">
      <c r="A968" s="25"/>
      <c r="B968" s="25"/>
      <c r="C968" s="121"/>
      <c r="D968" s="121"/>
      <c r="E968" s="121"/>
      <c r="F968" s="121"/>
      <c r="G968" s="121"/>
      <c r="H968" s="121"/>
      <c r="I968" s="121"/>
      <c r="J968" s="121"/>
      <c r="K968" s="121"/>
      <c r="L968" s="121"/>
      <c r="M968" s="122"/>
      <c r="N968" s="25"/>
    </row>
    <row r="969">
      <c r="A969" s="25"/>
      <c r="B969" s="25"/>
      <c r="C969" s="121"/>
      <c r="D969" s="121"/>
      <c r="E969" s="121"/>
      <c r="F969" s="121"/>
      <c r="G969" s="121"/>
      <c r="H969" s="121"/>
      <c r="I969" s="121"/>
      <c r="J969" s="121"/>
      <c r="K969" s="121"/>
      <c r="L969" s="121"/>
      <c r="M969" s="122"/>
      <c r="N969" s="25"/>
    </row>
    <row r="970">
      <c r="A970" s="25"/>
      <c r="B970" s="25"/>
      <c r="C970" s="121"/>
      <c r="D970" s="121"/>
      <c r="E970" s="121"/>
      <c r="F970" s="121"/>
      <c r="G970" s="121"/>
      <c r="H970" s="121"/>
      <c r="I970" s="121"/>
      <c r="J970" s="121"/>
      <c r="K970" s="121"/>
      <c r="L970" s="121"/>
      <c r="M970" s="122"/>
      <c r="N970" s="25"/>
    </row>
    <row r="971">
      <c r="A971" s="25"/>
      <c r="B971" s="25"/>
      <c r="C971" s="121"/>
      <c r="D971" s="121"/>
      <c r="E971" s="121"/>
      <c r="F971" s="121"/>
      <c r="G971" s="121"/>
      <c r="H971" s="121"/>
      <c r="I971" s="121"/>
      <c r="J971" s="121"/>
      <c r="K971" s="121"/>
      <c r="L971" s="121"/>
      <c r="M971" s="122"/>
      <c r="N971" s="25"/>
    </row>
    <row r="972">
      <c r="A972" s="25"/>
      <c r="B972" s="25"/>
      <c r="C972" s="121"/>
      <c r="D972" s="121"/>
      <c r="E972" s="121"/>
      <c r="F972" s="121"/>
      <c r="G972" s="121"/>
      <c r="H972" s="121"/>
      <c r="I972" s="121"/>
      <c r="J972" s="121"/>
      <c r="K972" s="121"/>
      <c r="L972" s="121"/>
      <c r="M972" s="122"/>
      <c r="N972" s="25"/>
    </row>
    <row r="973">
      <c r="A973" s="25"/>
      <c r="B973" s="25"/>
      <c r="C973" s="121"/>
      <c r="D973" s="121"/>
      <c r="E973" s="121"/>
      <c r="F973" s="121"/>
      <c r="G973" s="121"/>
      <c r="H973" s="121"/>
      <c r="I973" s="121"/>
      <c r="J973" s="121"/>
      <c r="K973" s="121"/>
      <c r="L973" s="121"/>
      <c r="M973" s="122"/>
      <c r="N973" s="25"/>
    </row>
    <row r="974">
      <c r="A974" s="25"/>
      <c r="B974" s="25"/>
      <c r="C974" s="121"/>
      <c r="D974" s="121"/>
      <c r="E974" s="121"/>
      <c r="F974" s="121"/>
      <c r="G974" s="121"/>
      <c r="H974" s="121"/>
      <c r="I974" s="121"/>
      <c r="J974" s="121"/>
      <c r="K974" s="121"/>
      <c r="L974" s="121"/>
      <c r="M974" s="122"/>
      <c r="N974" s="25"/>
    </row>
    <row r="975">
      <c r="A975" s="25"/>
      <c r="B975" s="25"/>
      <c r="C975" s="121"/>
      <c r="D975" s="121"/>
      <c r="E975" s="121"/>
      <c r="F975" s="121"/>
      <c r="G975" s="121"/>
      <c r="H975" s="121"/>
      <c r="I975" s="121"/>
      <c r="J975" s="121"/>
      <c r="K975" s="121"/>
      <c r="L975" s="121"/>
      <c r="M975" s="122"/>
      <c r="N975" s="25"/>
    </row>
    <row r="976">
      <c r="A976" s="25"/>
      <c r="B976" s="25"/>
      <c r="C976" s="121"/>
      <c r="D976" s="121"/>
      <c r="E976" s="121"/>
      <c r="F976" s="121"/>
      <c r="G976" s="121"/>
      <c r="H976" s="121"/>
      <c r="I976" s="121"/>
      <c r="J976" s="121"/>
      <c r="K976" s="121"/>
      <c r="L976" s="121"/>
      <c r="M976" s="122"/>
      <c r="N976" s="25"/>
    </row>
    <row r="977">
      <c r="A977" s="25"/>
      <c r="B977" s="25"/>
      <c r="C977" s="121"/>
      <c r="D977" s="121"/>
      <c r="E977" s="121"/>
      <c r="F977" s="121"/>
      <c r="G977" s="121"/>
      <c r="H977" s="121"/>
      <c r="I977" s="121"/>
      <c r="J977" s="121"/>
      <c r="K977" s="121"/>
      <c r="L977" s="121"/>
      <c r="M977" s="122"/>
      <c r="N977" s="25"/>
    </row>
    <row r="978">
      <c r="A978" s="25"/>
      <c r="B978" s="25"/>
      <c r="C978" s="121"/>
      <c r="D978" s="121"/>
      <c r="E978" s="121"/>
      <c r="F978" s="121"/>
      <c r="G978" s="121"/>
      <c r="H978" s="121"/>
      <c r="I978" s="121"/>
      <c r="J978" s="121"/>
      <c r="K978" s="121"/>
      <c r="L978" s="121"/>
      <c r="M978" s="122"/>
      <c r="N978" s="25"/>
    </row>
    <row r="979">
      <c r="A979" s="25"/>
      <c r="B979" s="25"/>
      <c r="C979" s="121"/>
      <c r="D979" s="121"/>
      <c r="E979" s="121"/>
      <c r="F979" s="121"/>
      <c r="G979" s="121"/>
      <c r="H979" s="121"/>
      <c r="I979" s="121"/>
      <c r="J979" s="121"/>
      <c r="K979" s="121"/>
      <c r="L979" s="121"/>
      <c r="M979" s="122"/>
      <c r="N979" s="25"/>
    </row>
    <row r="980">
      <c r="A980" s="25"/>
      <c r="B980" s="25"/>
      <c r="C980" s="121"/>
      <c r="D980" s="121"/>
      <c r="E980" s="121"/>
      <c r="F980" s="121"/>
      <c r="G980" s="121"/>
      <c r="H980" s="121"/>
      <c r="I980" s="121"/>
      <c r="J980" s="121"/>
      <c r="K980" s="121"/>
      <c r="L980" s="121"/>
      <c r="M980" s="122"/>
      <c r="N980" s="25"/>
    </row>
    <row r="981">
      <c r="A981" s="25"/>
      <c r="B981" s="25"/>
      <c r="C981" s="121"/>
      <c r="D981" s="121"/>
      <c r="E981" s="121"/>
      <c r="F981" s="121"/>
      <c r="G981" s="121"/>
      <c r="H981" s="121"/>
      <c r="I981" s="121"/>
      <c r="J981" s="121"/>
      <c r="K981" s="121"/>
      <c r="L981" s="121"/>
      <c r="M981" s="122"/>
      <c r="N981" s="25"/>
    </row>
    <row r="982">
      <c r="A982" s="25"/>
      <c r="B982" s="25"/>
      <c r="C982" s="121"/>
      <c r="D982" s="121"/>
      <c r="E982" s="121"/>
      <c r="F982" s="121"/>
      <c r="G982" s="121"/>
      <c r="H982" s="121"/>
      <c r="I982" s="121"/>
      <c r="J982" s="121"/>
      <c r="K982" s="121"/>
      <c r="L982" s="121"/>
      <c r="M982" s="122"/>
      <c r="N982" s="25"/>
    </row>
    <row r="983">
      <c r="A983" s="25"/>
      <c r="B983" s="25"/>
      <c r="C983" s="121"/>
      <c r="D983" s="121"/>
      <c r="E983" s="121"/>
      <c r="F983" s="121"/>
      <c r="G983" s="121"/>
      <c r="H983" s="121"/>
      <c r="I983" s="121"/>
      <c r="J983" s="121"/>
      <c r="K983" s="121"/>
      <c r="L983" s="121"/>
      <c r="M983" s="122"/>
      <c r="N983" s="25"/>
    </row>
    <row r="984">
      <c r="A984" s="25"/>
      <c r="B984" s="25"/>
      <c r="C984" s="121"/>
      <c r="D984" s="121"/>
      <c r="E984" s="121"/>
      <c r="F984" s="121"/>
      <c r="G984" s="121"/>
      <c r="H984" s="121"/>
      <c r="I984" s="121"/>
      <c r="J984" s="121"/>
      <c r="K984" s="121"/>
      <c r="L984" s="121"/>
      <c r="M984" s="122"/>
      <c r="N984" s="25"/>
    </row>
    <row r="985">
      <c r="A985" s="25"/>
      <c r="B985" s="25"/>
      <c r="C985" s="121"/>
      <c r="D985" s="121"/>
      <c r="E985" s="121"/>
      <c r="F985" s="121"/>
      <c r="G985" s="121"/>
      <c r="H985" s="121"/>
      <c r="I985" s="121"/>
      <c r="J985" s="121"/>
      <c r="K985" s="121"/>
      <c r="L985" s="121"/>
      <c r="M985" s="122"/>
      <c r="N985" s="25"/>
    </row>
    <row r="986">
      <c r="A986" s="25"/>
      <c r="B986" s="25"/>
      <c r="C986" s="121"/>
      <c r="D986" s="121"/>
      <c r="E986" s="121"/>
      <c r="F986" s="121"/>
      <c r="G986" s="121"/>
      <c r="H986" s="121"/>
      <c r="I986" s="121"/>
      <c r="J986" s="121"/>
      <c r="K986" s="121"/>
      <c r="L986" s="121"/>
      <c r="M986" s="122"/>
      <c r="N986" s="25"/>
    </row>
    <row r="987">
      <c r="A987" s="25"/>
      <c r="B987" s="25"/>
      <c r="C987" s="121"/>
      <c r="D987" s="121"/>
      <c r="E987" s="121"/>
      <c r="F987" s="121"/>
      <c r="G987" s="121"/>
      <c r="H987" s="121"/>
      <c r="I987" s="121"/>
      <c r="J987" s="121"/>
      <c r="K987" s="121"/>
      <c r="L987" s="121"/>
      <c r="M987" s="122"/>
      <c r="N987" s="25"/>
    </row>
    <row r="988">
      <c r="A988" s="25"/>
      <c r="B988" s="25"/>
      <c r="C988" s="121"/>
      <c r="D988" s="121"/>
      <c r="E988" s="121"/>
      <c r="F988" s="121"/>
      <c r="G988" s="121"/>
      <c r="H988" s="121"/>
      <c r="I988" s="121"/>
      <c r="J988" s="121"/>
      <c r="K988" s="121"/>
      <c r="L988" s="121"/>
      <c r="M988" s="122"/>
      <c r="N988" s="25"/>
    </row>
    <row r="989">
      <c r="A989" s="25"/>
      <c r="B989" s="25"/>
      <c r="C989" s="121"/>
      <c r="D989" s="121"/>
      <c r="E989" s="121"/>
      <c r="F989" s="121"/>
      <c r="G989" s="121"/>
      <c r="H989" s="121"/>
      <c r="I989" s="121"/>
      <c r="J989" s="121"/>
      <c r="K989" s="121"/>
      <c r="L989" s="121"/>
      <c r="M989" s="122"/>
      <c r="N989" s="25"/>
    </row>
    <row r="990">
      <c r="A990" s="25"/>
      <c r="B990" s="25"/>
      <c r="C990" s="121"/>
      <c r="D990" s="121"/>
      <c r="E990" s="121"/>
      <c r="F990" s="121"/>
      <c r="G990" s="121"/>
      <c r="H990" s="121"/>
      <c r="I990" s="121"/>
      <c r="J990" s="121"/>
      <c r="K990" s="121"/>
      <c r="L990" s="121"/>
      <c r="M990" s="122"/>
      <c r="N990" s="25"/>
    </row>
    <row r="991">
      <c r="A991" s="25"/>
      <c r="B991" s="25"/>
      <c r="C991" s="121"/>
      <c r="D991" s="121"/>
      <c r="E991" s="121"/>
      <c r="F991" s="121"/>
      <c r="G991" s="121"/>
      <c r="H991" s="121"/>
      <c r="I991" s="121"/>
      <c r="J991" s="121"/>
      <c r="K991" s="121"/>
      <c r="L991" s="121"/>
      <c r="M991" s="122"/>
      <c r="N991" s="25"/>
    </row>
    <row r="992">
      <c r="A992" s="25"/>
      <c r="B992" s="25"/>
      <c r="C992" s="121"/>
      <c r="D992" s="121"/>
      <c r="E992" s="121"/>
      <c r="F992" s="121"/>
      <c r="G992" s="121"/>
      <c r="H992" s="121"/>
      <c r="I992" s="121"/>
      <c r="J992" s="121"/>
      <c r="K992" s="121"/>
      <c r="L992" s="121"/>
      <c r="M992" s="122"/>
      <c r="N992" s="25"/>
    </row>
    <row r="993">
      <c r="A993" s="25"/>
      <c r="B993" s="25"/>
      <c r="C993" s="121"/>
      <c r="D993" s="121"/>
      <c r="E993" s="121"/>
      <c r="F993" s="121"/>
      <c r="G993" s="121"/>
      <c r="H993" s="121"/>
      <c r="I993" s="121"/>
      <c r="J993" s="121"/>
      <c r="K993" s="121"/>
      <c r="L993" s="121"/>
      <c r="M993" s="122"/>
      <c r="N993" s="25"/>
    </row>
    <row r="994">
      <c r="A994" s="25"/>
      <c r="B994" s="25"/>
      <c r="C994" s="121"/>
      <c r="D994" s="121"/>
      <c r="E994" s="121"/>
      <c r="F994" s="121"/>
      <c r="G994" s="121"/>
      <c r="H994" s="121"/>
      <c r="I994" s="121"/>
      <c r="J994" s="121"/>
      <c r="K994" s="121"/>
      <c r="L994" s="121"/>
      <c r="M994" s="122"/>
      <c r="N994" s="25"/>
    </row>
    <row r="995">
      <c r="A995" s="25"/>
      <c r="B995" s="25"/>
      <c r="C995" s="121"/>
      <c r="D995" s="121"/>
      <c r="E995" s="121"/>
      <c r="F995" s="121"/>
      <c r="G995" s="121"/>
      <c r="H995" s="121"/>
      <c r="I995" s="121"/>
      <c r="J995" s="121"/>
      <c r="K995" s="121"/>
      <c r="L995" s="121"/>
      <c r="M995" s="122"/>
      <c r="N995" s="25"/>
    </row>
    <row r="996">
      <c r="A996" s="25"/>
      <c r="B996" s="25"/>
      <c r="C996" s="121"/>
      <c r="D996" s="121"/>
      <c r="E996" s="121"/>
      <c r="F996" s="121"/>
      <c r="G996" s="121"/>
      <c r="H996" s="121"/>
      <c r="I996" s="121"/>
      <c r="J996" s="121"/>
      <c r="K996" s="121"/>
      <c r="L996" s="121"/>
      <c r="M996" s="122"/>
      <c r="N996" s="25"/>
    </row>
    <row r="997">
      <c r="A997" s="25"/>
      <c r="B997" s="25"/>
      <c r="C997" s="121"/>
      <c r="D997" s="121"/>
      <c r="E997" s="121"/>
      <c r="F997" s="121"/>
      <c r="G997" s="121"/>
      <c r="H997" s="121"/>
      <c r="I997" s="121"/>
      <c r="J997" s="121"/>
      <c r="K997" s="121"/>
      <c r="L997" s="121"/>
      <c r="M997" s="122"/>
      <c r="N997" s="25"/>
    </row>
    <row r="998">
      <c r="A998" s="25"/>
      <c r="B998" s="25"/>
      <c r="C998" s="121"/>
      <c r="D998" s="121"/>
      <c r="E998" s="121"/>
      <c r="F998" s="121"/>
      <c r="G998" s="121"/>
      <c r="H998" s="121"/>
      <c r="I998" s="121"/>
      <c r="J998" s="121"/>
      <c r="K998" s="121"/>
      <c r="L998" s="121"/>
      <c r="M998" s="122"/>
      <c r="N998" s="25"/>
    </row>
    <row r="999">
      <c r="A999" s="25"/>
      <c r="B999" s="25"/>
      <c r="C999" s="121"/>
      <c r="D999" s="121"/>
      <c r="E999" s="121"/>
      <c r="F999" s="121"/>
      <c r="G999" s="121"/>
      <c r="H999" s="121"/>
      <c r="I999" s="121"/>
      <c r="J999" s="121"/>
      <c r="K999" s="121"/>
      <c r="L999" s="121"/>
      <c r="M999" s="122"/>
      <c r="N999" s="25"/>
    </row>
    <row r="1000">
      <c r="A1000" s="25"/>
      <c r="B1000" s="25"/>
      <c r="C1000" s="121"/>
      <c r="D1000" s="121"/>
      <c r="E1000" s="121"/>
      <c r="F1000" s="121"/>
      <c r="G1000" s="121"/>
      <c r="H1000" s="121"/>
      <c r="I1000" s="121"/>
      <c r="J1000" s="121"/>
      <c r="K1000" s="121"/>
      <c r="L1000" s="121"/>
      <c r="M1000" s="122"/>
      <c r="N1000" s="25"/>
    </row>
    <row r="1001">
      <c r="A1001" s="25"/>
      <c r="B1001" s="25"/>
      <c r="C1001" s="121"/>
      <c r="D1001" s="121"/>
      <c r="E1001" s="121"/>
      <c r="F1001" s="121"/>
      <c r="G1001" s="121"/>
      <c r="H1001" s="121"/>
      <c r="I1001" s="121"/>
      <c r="J1001" s="121"/>
      <c r="K1001" s="121"/>
      <c r="L1001" s="121"/>
      <c r="M1001" s="122"/>
      <c r="N1001" s="25"/>
    </row>
    <row r="1002">
      <c r="A1002" s="25"/>
      <c r="B1002" s="25"/>
      <c r="C1002" s="121"/>
      <c r="D1002" s="121"/>
      <c r="E1002" s="121"/>
      <c r="F1002" s="121"/>
      <c r="G1002" s="121"/>
      <c r="H1002" s="121"/>
      <c r="I1002" s="121"/>
      <c r="J1002" s="121"/>
      <c r="K1002" s="121"/>
      <c r="L1002" s="121"/>
      <c r="M1002" s="122"/>
      <c r="N1002" s="25"/>
    </row>
    <row r="1003">
      <c r="A1003" s="25"/>
      <c r="B1003" s="25"/>
      <c r="C1003" s="121"/>
      <c r="D1003" s="121"/>
      <c r="E1003" s="121"/>
      <c r="F1003" s="121"/>
      <c r="G1003" s="121"/>
      <c r="H1003" s="121"/>
      <c r="I1003" s="121"/>
      <c r="J1003" s="121"/>
      <c r="K1003" s="121"/>
      <c r="L1003" s="121"/>
      <c r="M1003" s="122"/>
      <c r="N1003" s="25"/>
    </row>
    <row r="1004">
      <c r="A1004" s="25"/>
      <c r="B1004" s="25"/>
      <c r="C1004" s="121"/>
      <c r="D1004" s="121"/>
      <c r="E1004" s="121"/>
      <c r="F1004" s="121"/>
      <c r="G1004" s="121"/>
      <c r="H1004" s="121"/>
      <c r="I1004" s="121"/>
      <c r="J1004" s="121"/>
      <c r="K1004" s="121"/>
      <c r="L1004" s="121"/>
      <c r="M1004" s="122"/>
      <c r="N1004" s="25"/>
    </row>
    <row r="1005">
      <c r="A1005" s="25"/>
      <c r="B1005" s="25"/>
      <c r="C1005" s="121"/>
      <c r="D1005" s="121"/>
      <c r="E1005" s="121"/>
      <c r="F1005" s="121"/>
      <c r="G1005" s="121"/>
      <c r="H1005" s="121"/>
      <c r="I1005" s="121"/>
      <c r="J1005" s="121"/>
      <c r="K1005" s="121"/>
      <c r="L1005" s="121"/>
      <c r="M1005" s="122"/>
      <c r="N1005" s="25"/>
    </row>
    <row r="1006">
      <c r="A1006" s="25"/>
      <c r="B1006" s="25"/>
      <c r="C1006" s="121"/>
      <c r="D1006" s="121"/>
      <c r="E1006" s="121"/>
      <c r="F1006" s="121"/>
      <c r="G1006" s="121"/>
      <c r="H1006" s="121"/>
      <c r="I1006" s="121"/>
      <c r="J1006" s="121"/>
      <c r="K1006" s="121"/>
      <c r="L1006" s="121"/>
      <c r="M1006" s="122"/>
      <c r="N1006" s="25"/>
    </row>
    <row r="1007">
      <c r="A1007" s="25"/>
      <c r="B1007" s="25"/>
      <c r="C1007" s="121"/>
      <c r="D1007" s="121"/>
      <c r="E1007" s="121"/>
      <c r="F1007" s="121"/>
      <c r="G1007" s="121"/>
      <c r="H1007" s="121"/>
      <c r="I1007" s="121"/>
      <c r="J1007" s="121"/>
      <c r="K1007" s="121"/>
      <c r="L1007" s="121"/>
      <c r="M1007" s="122"/>
      <c r="N1007" s="25"/>
    </row>
    <row r="1008">
      <c r="A1008" s="25"/>
      <c r="B1008" s="25"/>
      <c r="C1008" s="121"/>
      <c r="D1008" s="121"/>
      <c r="E1008" s="121"/>
      <c r="F1008" s="121"/>
      <c r="G1008" s="121"/>
      <c r="H1008" s="121"/>
      <c r="I1008" s="121"/>
      <c r="J1008" s="121"/>
      <c r="K1008" s="121"/>
      <c r="L1008" s="121"/>
      <c r="M1008" s="122"/>
      <c r="N1008" s="25"/>
    </row>
  </sheetData>
  <autoFilter ref="$A$1:$N$30">
    <sortState ref="A1:N30">
      <sortCondition ref="A1:A30"/>
      <sortCondition ref="K1:K30"/>
      <sortCondition ref="I1:I30"/>
      <sortCondition ref="D1:D30"/>
      <sortCondition ref="B1:B30"/>
      <sortCondition ref="G1:G30"/>
      <sortCondition ref="C1:C30"/>
    </sortState>
  </autoFilter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</hyperlinks>
  <drawing r:id="rId30"/>
</worksheet>
</file>